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  <color rgb="00000000"/>
    </font>
    <font>
      <name val="Arial"/>
      <b val="1"/>
      <color rgb="000000FF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AD3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1" fontId="5" fillId="2" borderId="1" pivotButton="0" quotePrefix="0" xfId="0"/>
    <xf numFmtId="10" fontId="5" fillId="2" borderId="1" pivotButton="0" quotePrefix="0" xfId="0"/>
    <xf numFmtId="2" fontId="5" fillId="2" borderId="1" pivotButton="0" quotePrefix="0" xfId="0"/>
    <xf numFmtId="164" fontId="4" fillId="0" borderId="1" pivotButton="0" quotePrefix="0" xfId="0"/>
    <xf numFmtId="164" fontId="3" fillId="0" borderId="1" pivotButton="0" quotePrefix="0" xfId="0"/>
    <xf numFmtId="164" fontId="3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</cols>
  <sheetData>
    <row r="1">
      <c r="A1" s="1" t="inlineStr">
        <is>
          <t>TTMPC Consolidated Loan Calculator — Below ₱500,000</t>
        </is>
      </c>
    </row>
    <row r="2">
      <c r="A2" s="2" t="inlineStr">
        <is>
          <t>Interest: 0.83%/month add-on (not diminishing). Amortization = Principal x (1 + rate x term) / term.</t>
        </is>
      </c>
    </row>
    <row r="3">
      <c r="A3" s="2" t="inlineStr">
        <is>
          <t>Legend: Blue = input cell you may edit  |  Black = formula (auto-calculated)</t>
        </is>
      </c>
    </row>
    <row r="5" ht="16" customHeight="1">
      <c r="A5" s="3" t="inlineStr">
        <is>
          <t>INPUTS</t>
        </is>
      </c>
    </row>
    <row r="6" ht="16" customHeight="1">
      <c r="A6" s="4" t="inlineStr">
        <is>
          <t>Loan Amount Applied (Principal)</t>
        </is>
      </c>
      <c r="B6" s="5" t="n">
        <v>450000</v>
      </c>
    </row>
    <row r="7" ht="16" customHeight="1">
      <c r="A7" s="4" t="inlineStr">
        <is>
          <t>Term (months) — max 60 for this tier</t>
        </is>
      </c>
      <c r="B7" s="6" t="n">
        <v>24</v>
      </c>
    </row>
    <row r="8" ht="16" customHeight="1">
      <c r="A8" s="4" t="inlineStr">
        <is>
          <t>Monthly Add-on Interest Rate</t>
        </is>
      </c>
      <c r="B8" s="7" t="n">
        <v>0.0083</v>
      </c>
    </row>
    <row r="9" ht="16" customHeight="1">
      <c r="A9" s="4" t="inlineStr">
        <is>
          <t>Service Fee Rate (₱ per ₱50,000)</t>
        </is>
      </c>
      <c r="B9" s="5" t="n">
        <v>100</v>
      </c>
    </row>
    <row r="10" ht="16" customHeight="1">
      <c r="A10" s="4" t="inlineStr">
        <is>
          <t>Service Fee Unit (₱)</t>
        </is>
      </c>
      <c r="B10" s="5" t="n">
        <v>50000</v>
      </c>
    </row>
    <row r="11" ht="16" customHeight="1">
      <c r="A11" s="4" t="inlineStr">
        <is>
          <t>CLIMBS Insurance Factor (per 1000, per annum)</t>
        </is>
      </c>
      <c r="B11" s="8" t="n">
        <v>1.35</v>
      </c>
    </row>
    <row r="12" ht="16" customHeight="1">
      <c r="A12" s="4" t="inlineStr">
        <is>
          <t>Capital Build-Up Rate (% of loan)</t>
        </is>
      </c>
      <c r="B12" s="7" t="n">
        <v>0.02</v>
      </c>
    </row>
    <row r="13" ht="16" customHeight="1">
      <c r="A13" s="4" t="inlineStr">
        <is>
          <t>Notarial Fee (₱)</t>
        </is>
      </c>
      <c r="B13" s="5" t="n">
        <v>100</v>
      </c>
    </row>
    <row r="14" ht="16" customHeight="1">
      <c r="A14" s="4" t="inlineStr">
        <is>
          <t>Outstanding Balance Being Settled (if renewal, else 0)</t>
        </is>
      </c>
      <c r="B14" s="5" t="n">
        <v>0</v>
      </c>
    </row>
    <row r="15" ht="16" customHeight="1">
      <c r="A15" s="4" t="inlineStr">
        <is>
          <t>Unpaid Interest Being Settled (if any, else 0)</t>
        </is>
      </c>
      <c r="B15" s="5" t="n">
        <v>0</v>
      </c>
    </row>
    <row r="16" ht="16" customHeight="1">
      <c r="A16" s="4" t="inlineStr">
        <is>
          <t>Penalty Being Settled (if any, else 0)</t>
        </is>
      </c>
      <c r="B16" s="5" t="n">
        <v>0</v>
      </c>
    </row>
    <row r="17" ht="16" customHeight="1"/>
    <row r="18" ht="16" customHeight="1">
      <c r="A18" s="3" t="inlineStr">
        <is>
          <t>COMPUTATION</t>
        </is>
      </c>
    </row>
    <row r="19" ht="16" customHeight="1">
      <c r="A19" s="4" t="inlineStr">
        <is>
          <t>Total Interest (add-on, full term)</t>
        </is>
      </c>
      <c r="B19" s="9">
        <f>B6*B8*B7</f>
        <v/>
      </c>
    </row>
    <row r="20" ht="16" customHeight="1">
      <c r="A20" s="4" t="inlineStr">
        <is>
          <t>Total Payable (Principal + Total Interest)</t>
        </is>
      </c>
      <c r="B20" s="9">
        <f>B6+B19</f>
        <v/>
      </c>
    </row>
    <row r="21" ht="16" customHeight="1">
      <c r="A21" s="4" t="inlineStr">
        <is>
          <t>Monthly Amortization</t>
        </is>
      </c>
      <c r="B21" s="9">
        <f>B20/B7</f>
        <v/>
      </c>
    </row>
    <row r="22" ht="16" customHeight="1">
      <c r="A22" s="4" t="inlineStr">
        <is>
          <t>Service Fee</t>
        </is>
      </c>
      <c r="B22" s="9">
        <f>ROUNDUP(B6/B10,0)*B9</f>
        <v/>
      </c>
    </row>
    <row r="23" ht="16" customHeight="1">
      <c r="A23" s="4" t="inlineStr">
        <is>
          <t>CLIMBS Insurance (loan_amount x 1.35 x 12 / 1000)</t>
        </is>
      </c>
      <c r="B23" s="9">
        <f>B6*B11*12/1000</f>
        <v/>
      </c>
    </row>
    <row r="24" ht="16" customHeight="1">
      <c r="A24" s="4" t="inlineStr">
        <is>
          <t>Capital Build-Up (CBU, 2% of loan, credited to share capital)</t>
        </is>
      </c>
      <c r="B24" s="9">
        <f>B6*B12</f>
        <v/>
      </c>
    </row>
    <row r="25" ht="16" customHeight="1">
      <c r="A25" s="4" t="inlineStr">
        <is>
          <t>Notarial Fee</t>
        </is>
      </c>
      <c r="B25" s="9">
        <f>B13</f>
        <v/>
      </c>
    </row>
    <row r="26" ht="16" customHeight="1"/>
    <row r="27" ht="16" customHeight="1">
      <c r="A27" s="3" t="inlineStr">
        <is>
          <t>DEDUCTIONS FROM PROCEEDS (TTMPC order)</t>
        </is>
      </c>
    </row>
    <row r="28" ht="16" customHeight="1">
      <c r="A28" s="4" t="inlineStr">
        <is>
          <t>Capital Build-Up (CBU)</t>
        </is>
      </c>
      <c r="B28" s="9">
        <f>B24</f>
        <v/>
      </c>
    </row>
    <row r="29" ht="16" customHeight="1">
      <c r="A29" s="4" t="inlineStr">
        <is>
          <t>CLIMBS Insurance</t>
        </is>
      </c>
      <c r="B29" s="9">
        <f>B23</f>
        <v/>
      </c>
    </row>
    <row r="30" ht="16" customHeight="1">
      <c r="A30" s="4" t="inlineStr">
        <is>
          <t>Service Fee</t>
        </is>
      </c>
      <c r="B30" s="9">
        <f>B22</f>
        <v/>
      </c>
    </row>
    <row r="31" ht="16" customHeight="1">
      <c r="A31" s="4" t="inlineStr">
        <is>
          <t>Outstanding Balance (renewal payoff)</t>
        </is>
      </c>
      <c r="B31" s="9">
        <f>B14</f>
        <v/>
      </c>
    </row>
    <row r="32" ht="16" customHeight="1">
      <c r="A32" s="4" t="inlineStr">
        <is>
          <t>Unpaid Interest</t>
        </is>
      </c>
      <c r="B32" s="9">
        <f>B15</f>
        <v/>
      </c>
    </row>
    <row r="33" ht="16" customHeight="1">
      <c r="A33" s="4" t="inlineStr">
        <is>
          <t>Penalty</t>
        </is>
      </c>
      <c r="B33" s="9">
        <f>B16</f>
        <v/>
      </c>
    </row>
    <row r="34" ht="16" customHeight="1">
      <c r="A34" s="4" t="inlineStr">
        <is>
          <t>Notarial Fee</t>
        </is>
      </c>
      <c r="B34" s="9">
        <f>B25</f>
        <v/>
      </c>
    </row>
    <row r="35" ht="16" customHeight="1">
      <c r="A35" s="3" t="inlineStr">
        <is>
          <t>Total Deductions</t>
        </is>
      </c>
      <c r="B35" s="10">
        <f>SUM(B28:B34)</f>
        <v/>
      </c>
    </row>
    <row r="36" ht="16" customHeight="1">
      <c r="A36" s="3" t="inlineStr">
        <is>
          <t>NET PROCEEDS TO MEMBER</t>
        </is>
      </c>
      <c r="B36" s="11">
        <f>B6-B35</f>
        <v/>
      </c>
    </row>
    <row r="37" ht="16" customHeight="1"/>
    <row r="38" ht="16" customHeight="1">
      <c r="A38" s="2" t="inlineStr">
        <is>
          <t>Note: Max term 60 months; 72 months only for loans ≥ ₱500,000 (both tiers use the same 0.83%/mo add-on rate — only the maximum term differs). First amortization due the 25th of the month after release. 2% penalty/month on each unpaid installment. Eligibility requires MIGS status; approved amount may differ from amount applied.</t>
        </is>
      </c>
    </row>
    <row r="39">
      <c r="A39" s="2" t="inlineStr">
        <is>
          <t>(Add-on interest is spread evenly: Total Interest / Term, each month)</t>
        </is>
      </c>
    </row>
    <row r="40">
      <c r="A40" s="3" t="inlineStr">
        <is>
          <t>AMORTIZATION SCHEDULE</t>
        </is>
      </c>
    </row>
    <row r="41">
      <c r="A41" s="12" t="inlineStr">
        <is>
          <t>Month</t>
        </is>
      </c>
      <c r="B41" s="12" t="inlineStr">
        <is>
          <t>Beginning Balance</t>
        </is>
      </c>
      <c r="C41" s="12" t="inlineStr">
        <is>
          <t>Principal Due</t>
        </is>
      </c>
      <c r="D41" s="12" t="inlineStr">
        <is>
          <t>Interest Due</t>
        </is>
      </c>
      <c r="E41" s="12" t="inlineStr">
        <is>
          <t>Monthly Amortization</t>
        </is>
      </c>
      <c r="F41" s="12" t="inlineStr">
        <is>
          <t>Ending Balance</t>
        </is>
      </c>
    </row>
    <row r="42">
      <c r="A42" s="13" t="n">
        <v>1</v>
      </c>
      <c r="B42" s="14">
        <f>B6</f>
        <v/>
      </c>
      <c r="C42" s="14">
        <f>E42-D42</f>
        <v/>
      </c>
      <c r="D42" s="14">
        <f>IF(A42&lt;=B7,B19/B7,0)</f>
        <v/>
      </c>
      <c r="E42" s="14">
        <f>IF(A42&lt;=B7,B21,0)</f>
        <v/>
      </c>
      <c r="F42" s="14">
        <f>MAX(B42-C42,0)</f>
        <v/>
      </c>
    </row>
    <row r="43">
      <c r="A43" s="13" t="n">
        <v>2</v>
      </c>
      <c r="B43" s="14">
        <f>F42</f>
        <v/>
      </c>
      <c r="C43" s="14">
        <f>E43-D43</f>
        <v/>
      </c>
      <c r="D43" s="14">
        <f>IF(A43&lt;=B7,B19/B7,0)</f>
        <v/>
      </c>
      <c r="E43" s="14">
        <f>IF(A43&lt;=B7,B21,0)</f>
        <v/>
      </c>
      <c r="F43" s="14">
        <f>MAX(B43-C43,0)</f>
        <v/>
      </c>
    </row>
    <row r="44">
      <c r="A44" s="13" t="n">
        <v>3</v>
      </c>
      <c r="B44" s="14">
        <f>F43</f>
        <v/>
      </c>
      <c r="C44" s="14">
        <f>E44-D44</f>
        <v/>
      </c>
      <c r="D44" s="14">
        <f>IF(A44&lt;=B7,B19/B7,0)</f>
        <v/>
      </c>
      <c r="E44" s="14">
        <f>IF(A44&lt;=B7,B21,0)</f>
        <v/>
      </c>
      <c r="F44" s="14">
        <f>MAX(B44-C44,0)</f>
        <v/>
      </c>
    </row>
    <row r="45">
      <c r="A45" s="13" t="n">
        <v>4</v>
      </c>
      <c r="B45" s="14">
        <f>F44</f>
        <v/>
      </c>
      <c r="C45" s="14">
        <f>E45-D45</f>
        <v/>
      </c>
      <c r="D45" s="14">
        <f>IF(A45&lt;=B7,B19/B7,0)</f>
        <v/>
      </c>
      <c r="E45" s="14">
        <f>IF(A45&lt;=B7,B21,0)</f>
        <v/>
      </c>
      <c r="F45" s="14">
        <f>MAX(B45-C45,0)</f>
        <v/>
      </c>
    </row>
    <row r="46">
      <c r="A46" s="13" t="n">
        <v>5</v>
      </c>
      <c r="B46" s="14">
        <f>F45</f>
        <v/>
      </c>
      <c r="C46" s="14">
        <f>E46-D46</f>
        <v/>
      </c>
      <c r="D46" s="14">
        <f>IF(A46&lt;=B7,B19/B7,0)</f>
        <v/>
      </c>
      <c r="E46" s="14">
        <f>IF(A46&lt;=B7,B21,0)</f>
        <v/>
      </c>
      <c r="F46" s="14">
        <f>MAX(B46-C46,0)</f>
        <v/>
      </c>
    </row>
    <row r="47">
      <c r="A47" s="13" t="n">
        <v>6</v>
      </c>
      <c r="B47" s="14">
        <f>F46</f>
        <v/>
      </c>
      <c r="C47" s="14">
        <f>E47-D47</f>
        <v/>
      </c>
      <c r="D47" s="14">
        <f>IF(A47&lt;=B7,B19/B7,0)</f>
        <v/>
      </c>
      <c r="E47" s="14">
        <f>IF(A47&lt;=B7,B21,0)</f>
        <v/>
      </c>
      <c r="F47" s="14">
        <f>MAX(B47-C47,0)</f>
        <v/>
      </c>
    </row>
    <row r="48">
      <c r="A48" s="13" t="n">
        <v>7</v>
      </c>
      <c r="B48" s="14">
        <f>F47</f>
        <v/>
      </c>
      <c r="C48" s="14">
        <f>E48-D48</f>
        <v/>
      </c>
      <c r="D48" s="14">
        <f>IF(A48&lt;=B7,B19/B7,0)</f>
        <v/>
      </c>
      <c r="E48" s="14">
        <f>IF(A48&lt;=B7,B21,0)</f>
        <v/>
      </c>
      <c r="F48" s="14">
        <f>MAX(B48-C48,0)</f>
        <v/>
      </c>
    </row>
    <row r="49">
      <c r="A49" s="13" t="n">
        <v>8</v>
      </c>
      <c r="B49" s="14">
        <f>F48</f>
        <v/>
      </c>
      <c r="C49" s="14">
        <f>E49-D49</f>
        <v/>
      </c>
      <c r="D49" s="14">
        <f>IF(A49&lt;=B7,B19/B7,0)</f>
        <v/>
      </c>
      <c r="E49" s="14">
        <f>IF(A49&lt;=B7,B21,0)</f>
        <v/>
      </c>
      <c r="F49" s="14">
        <f>MAX(B49-C49,0)</f>
        <v/>
      </c>
    </row>
    <row r="50">
      <c r="A50" s="13" t="n">
        <v>9</v>
      </c>
      <c r="B50" s="14">
        <f>F49</f>
        <v/>
      </c>
      <c r="C50" s="14">
        <f>E50-D50</f>
        <v/>
      </c>
      <c r="D50" s="14">
        <f>IF(A50&lt;=B7,B19/B7,0)</f>
        <v/>
      </c>
      <c r="E50" s="14">
        <f>IF(A50&lt;=B7,B21,0)</f>
        <v/>
      </c>
      <c r="F50" s="14">
        <f>MAX(B50-C50,0)</f>
        <v/>
      </c>
    </row>
    <row r="51">
      <c r="A51" s="13" t="n">
        <v>10</v>
      </c>
      <c r="B51" s="14">
        <f>F50</f>
        <v/>
      </c>
      <c r="C51" s="14">
        <f>E51-D51</f>
        <v/>
      </c>
      <c r="D51" s="14">
        <f>IF(A51&lt;=B7,B19/B7,0)</f>
        <v/>
      </c>
      <c r="E51" s="14">
        <f>IF(A51&lt;=B7,B21,0)</f>
        <v/>
      </c>
      <c r="F51" s="14">
        <f>MAX(B51-C51,0)</f>
        <v/>
      </c>
    </row>
    <row r="52">
      <c r="A52" s="13" t="n">
        <v>11</v>
      </c>
      <c r="B52" s="14">
        <f>F51</f>
        <v/>
      </c>
      <c r="C52" s="14">
        <f>E52-D52</f>
        <v/>
      </c>
      <c r="D52" s="14">
        <f>IF(A52&lt;=B7,B19/B7,0)</f>
        <v/>
      </c>
      <c r="E52" s="14">
        <f>IF(A52&lt;=B7,B21,0)</f>
        <v/>
      </c>
      <c r="F52" s="14">
        <f>MAX(B52-C52,0)</f>
        <v/>
      </c>
    </row>
    <row r="53">
      <c r="A53" s="13" t="n">
        <v>12</v>
      </c>
      <c r="B53" s="14">
        <f>F52</f>
        <v/>
      </c>
      <c r="C53" s="14">
        <f>E53-D53</f>
        <v/>
      </c>
      <c r="D53" s="14">
        <f>IF(A53&lt;=B7,B19/B7,0)</f>
        <v/>
      </c>
      <c r="E53" s="14">
        <f>IF(A53&lt;=B7,B21,0)</f>
        <v/>
      </c>
      <c r="F53" s="14">
        <f>MAX(B53-C53,0)</f>
        <v/>
      </c>
    </row>
    <row r="54">
      <c r="A54" s="13" t="n">
        <v>13</v>
      </c>
      <c r="B54" s="14">
        <f>F53</f>
        <v/>
      </c>
      <c r="C54" s="14">
        <f>E54-D54</f>
        <v/>
      </c>
      <c r="D54" s="14">
        <f>IF(A54&lt;=B7,B19/B7,0)</f>
        <v/>
      </c>
      <c r="E54" s="14">
        <f>IF(A54&lt;=B7,B21,0)</f>
        <v/>
      </c>
      <c r="F54" s="14">
        <f>MAX(B54-C54,0)</f>
        <v/>
      </c>
    </row>
    <row r="55">
      <c r="A55" s="13" t="n">
        <v>14</v>
      </c>
      <c r="B55" s="14">
        <f>F54</f>
        <v/>
      </c>
      <c r="C55" s="14">
        <f>E55-D55</f>
        <v/>
      </c>
      <c r="D55" s="14">
        <f>IF(A55&lt;=B7,B19/B7,0)</f>
        <v/>
      </c>
      <c r="E55" s="14">
        <f>IF(A55&lt;=B7,B21,0)</f>
        <v/>
      </c>
      <c r="F55" s="14">
        <f>MAX(B55-C55,0)</f>
        <v/>
      </c>
    </row>
    <row r="56">
      <c r="A56" s="13" t="n">
        <v>15</v>
      </c>
      <c r="B56" s="14">
        <f>F55</f>
        <v/>
      </c>
      <c r="C56" s="14">
        <f>E56-D56</f>
        <v/>
      </c>
      <c r="D56" s="14">
        <f>IF(A56&lt;=B7,B19/B7,0)</f>
        <v/>
      </c>
      <c r="E56" s="14">
        <f>IF(A56&lt;=B7,B21,0)</f>
        <v/>
      </c>
      <c r="F56" s="14">
        <f>MAX(B56-C56,0)</f>
        <v/>
      </c>
    </row>
    <row r="57">
      <c r="A57" s="13" t="n">
        <v>16</v>
      </c>
      <c r="B57" s="14">
        <f>F56</f>
        <v/>
      </c>
      <c r="C57" s="14">
        <f>E57-D57</f>
        <v/>
      </c>
      <c r="D57" s="14">
        <f>IF(A57&lt;=B7,B19/B7,0)</f>
        <v/>
      </c>
      <c r="E57" s="14">
        <f>IF(A57&lt;=B7,B21,0)</f>
        <v/>
      </c>
      <c r="F57" s="14">
        <f>MAX(B57-C57,0)</f>
        <v/>
      </c>
    </row>
    <row r="58">
      <c r="A58" s="13" t="n">
        <v>17</v>
      </c>
      <c r="B58" s="14">
        <f>F57</f>
        <v/>
      </c>
      <c r="C58" s="14">
        <f>E58-D58</f>
        <v/>
      </c>
      <c r="D58" s="14">
        <f>IF(A58&lt;=B7,B19/B7,0)</f>
        <v/>
      </c>
      <c r="E58" s="14">
        <f>IF(A58&lt;=B7,B21,0)</f>
        <v/>
      </c>
      <c r="F58" s="14">
        <f>MAX(B58-C58,0)</f>
        <v/>
      </c>
    </row>
    <row r="59">
      <c r="A59" s="13" t="n">
        <v>18</v>
      </c>
      <c r="B59" s="14">
        <f>F58</f>
        <v/>
      </c>
      <c r="C59" s="14">
        <f>E59-D59</f>
        <v/>
      </c>
      <c r="D59" s="14">
        <f>IF(A59&lt;=B7,B19/B7,0)</f>
        <v/>
      </c>
      <c r="E59" s="14">
        <f>IF(A59&lt;=B7,B21,0)</f>
        <v/>
      </c>
      <c r="F59" s="14">
        <f>MAX(B59-C59,0)</f>
        <v/>
      </c>
    </row>
    <row r="60">
      <c r="A60" s="13" t="n">
        <v>19</v>
      </c>
      <c r="B60" s="14">
        <f>F59</f>
        <v/>
      </c>
      <c r="C60" s="14">
        <f>E60-D60</f>
        <v/>
      </c>
      <c r="D60" s="14">
        <f>IF(A60&lt;=B7,B19/B7,0)</f>
        <v/>
      </c>
      <c r="E60" s="14">
        <f>IF(A60&lt;=B7,B21,0)</f>
        <v/>
      </c>
      <c r="F60" s="14">
        <f>MAX(B60-C60,0)</f>
        <v/>
      </c>
    </row>
    <row r="61">
      <c r="A61" s="13" t="n">
        <v>20</v>
      </c>
      <c r="B61" s="14">
        <f>F60</f>
        <v/>
      </c>
      <c r="C61" s="14">
        <f>E61-D61</f>
        <v/>
      </c>
      <c r="D61" s="14">
        <f>IF(A61&lt;=B7,B19/B7,0)</f>
        <v/>
      </c>
      <c r="E61" s="14">
        <f>IF(A61&lt;=B7,B21,0)</f>
        <v/>
      </c>
      <c r="F61" s="14">
        <f>MAX(B61-C61,0)</f>
        <v/>
      </c>
    </row>
    <row r="62">
      <c r="A62" s="13" t="n">
        <v>21</v>
      </c>
      <c r="B62" s="14">
        <f>F61</f>
        <v/>
      </c>
      <c r="C62" s="14">
        <f>E62-D62</f>
        <v/>
      </c>
      <c r="D62" s="14">
        <f>IF(A62&lt;=B7,B19/B7,0)</f>
        <v/>
      </c>
      <c r="E62" s="14">
        <f>IF(A62&lt;=B7,B21,0)</f>
        <v/>
      </c>
      <c r="F62" s="14">
        <f>MAX(B62-C62,0)</f>
        <v/>
      </c>
    </row>
    <row r="63">
      <c r="A63" s="13" t="n">
        <v>22</v>
      </c>
      <c r="B63" s="14">
        <f>F62</f>
        <v/>
      </c>
      <c r="C63" s="14">
        <f>E63-D63</f>
        <v/>
      </c>
      <c r="D63" s="14">
        <f>IF(A63&lt;=B7,B19/B7,0)</f>
        <v/>
      </c>
      <c r="E63" s="14">
        <f>IF(A63&lt;=B7,B21,0)</f>
        <v/>
      </c>
      <c r="F63" s="14">
        <f>MAX(B63-C63,0)</f>
        <v/>
      </c>
    </row>
    <row r="64">
      <c r="A64" s="13" t="n">
        <v>23</v>
      </c>
      <c r="B64" s="14">
        <f>F63</f>
        <v/>
      </c>
      <c r="C64" s="14">
        <f>E64-D64</f>
        <v/>
      </c>
      <c r="D64" s="14">
        <f>IF(A64&lt;=B7,B19/B7,0)</f>
        <v/>
      </c>
      <c r="E64" s="14">
        <f>IF(A64&lt;=B7,B21,0)</f>
        <v/>
      </c>
      <c r="F64" s="14">
        <f>MAX(B64-C64,0)</f>
        <v/>
      </c>
    </row>
    <row r="65">
      <c r="A65" s="13" t="n">
        <v>24</v>
      </c>
      <c r="B65" s="14">
        <f>F64</f>
        <v/>
      </c>
      <c r="C65" s="14">
        <f>E65-D65</f>
        <v/>
      </c>
      <c r="D65" s="14">
        <f>IF(A65&lt;=B7,B19/B7,0)</f>
        <v/>
      </c>
      <c r="E65" s="14">
        <f>IF(A65&lt;=B7,B21,0)</f>
        <v/>
      </c>
      <c r="F65" s="14">
        <f>MAX(B65-C65,0)</f>
        <v/>
      </c>
    </row>
    <row r="66">
      <c r="A66" s="13" t="n">
        <v>25</v>
      </c>
      <c r="B66" s="14">
        <f>F65</f>
        <v/>
      </c>
      <c r="C66" s="14">
        <f>E66-D66</f>
        <v/>
      </c>
      <c r="D66" s="14">
        <f>IF(A66&lt;=B7,B19/B7,0)</f>
        <v/>
      </c>
      <c r="E66" s="14">
        <f>IF(A66&lt;=B7,B21,0)</f>
        <v/>
      </c>
      <c r="F66" s="14">
        <f>MAX(B66-C66,0)</f>
        <v/>
      </c>
    </row>
    <row r="67">
      <c r="A67" s="13" t="n">
        <v>26</v>
      </c>
      <c r="B67" s="14">
        <f>F66</f>
        <v/>
      </c>
      <c r="C67" s="14">
        <f>E67-D67</f>
        <v/>
      </c>
      <c r="D67" s="14">
        <f>IF(A67&lt;=B7,B19/B7,0)</f>
        <v/>
      </c>
      <c r="E67" s="14">
        <f>IF(A67&lt;=B7,B21,0)</f>
        <v/>
      </c>
      <c r="F67" s="14">
        <f>MAX(B67-C67,0)</f>
        <v/>
      </c>
    </row>
    <row r="68">
      <c r="A68" s="13" t="n">
        <v>27</v>
      </c>
      <c r="B68" s="14">
        <f>F67</f>
        <v/>
      </c>
      <c r="C68" s="14">
        <f>E68-D68</f>
        <v/>
      </c>
      <c r="D68" s="14">
        <f>IF(A68&lt;=B7,B19/B7,0)</f>
        <v/>
      </c>
      <c r="E68" s="14">
        <f>IF(A68&lt;=B7,B21,0)</f>
        <v/>
      </c>
      <c r="F68" s="14">
        <f>MAX(B68-C68,0)</f>
        <v/>
      </c>
    </row>
    <row r="69">
      <c r="A69" s="13" t="n">
        <v>28</v>
      </c>
      <c r="B69" s="14">
        <f>F68</f>
        <v/>
      </c>
      <c r="C69" s="14">
        <f>E69-D69</f>
        <v/>
      </c>
      <c r="D69" s="14">
        <f>IF(A69&lt;=B7,B19/B7,0)</f>
        <v/>
      </c>
      <c r="E69" s="14">
        <f>IF(A69&lt;=B7,B21,0)</f>
        <v/>
      </c>
      <c r="F69" s="14">
        <f>MAX(B69-C69,0)</f>
        <v/>
      </c>
    </row>
    <row r="70">
      <c r="A70" s="13" t="n">
        <v>29</v>
      </c>
      <c r="B70" s="14">
        <f>F69</f>
        <v/>
      </c>
      <c r="C70" s="14">
        <f>E70-D70</f>
        <v/>
      </c>
      <c r="D70" s="14">
        <f>IF(A70&lt;=B7,B19/B7,0)</f>
        <v/>
      </c>
      <c r="E70" s="14">
        <f>IF(A70&lt;=B7,B21,0)</f>
        <v/>
      </c>
      <c r="F70" s="14">
        <f>MAX(B70-C70,0)</f>
        <v/>
      </c>
    </row>
    <row r="71">
      <c r="A71" s="13" t="n">
        <v>30</v>
      </c>
      <c r="B71" s="14">
        <f>F70</f>
        <v/>
      </c>
      <c r="C71" s="14">
        <f>E71-D71</f>
        <v/>
      </c>
      <c r="D71" s="14">
        <f>IF(A71&lt;=B7,B19/B7,0)</f>
        <v/>
      </c>
      <c r="E71" s="14">
        <f>IF(A71&lt;=B7,B21,0)</f>
        <v/>
      </c>
      <c r="F71" s="14">
        <f>MAX(B71-C71,0)</f>
        <v/>
      </c>
    </row>
    <row r="72">
      <c r="A72" s="13" t="n">
        <v>31</v>
      </c>
      <c r="B72" s="14">
        <f>F71</f>
        <v/>
      </c>
      <c r="C72" s="14">
        <f>E72-D72</f>
        <v/>
      </c>
      <c r="D72" s="14">
        <f>IF(A72&lt;=B7,B19/B7,0)</f>
        <v/>
      </c>
      <c r="E72" s="14">
        <f>IF(A72&lt;=B7,B21,0)</f>
        <v/>
      </c>
      <c r="F72" s="14">
        <f>MAX(B72-C72,0)</f>
        <v/>
      </c>
    </row>
    <row r="73">
      <c r="A73" s="13" t="n">
        <v>32</v>
      </c>
      <c r="B73" s="14">
        <f>F72</f>
        <v/>
      </c>
      <c r="C73" s="14">
        <f>E73-D73</f>
        <v/>
      </c>
      <c r="D73" s="14">
        <f>IF(A73&lt;=B7,B19/B7,0)</f>
        <v/>
      </c>
      <c r="E73" s="14">
        <f>IF(A73&lt;=B7,B21,0)</f>
        <v/>
      </c>
      <c r="F73" s="14">
        <f>MAX(B73-C73,0)</f>
        <v/>
      </c>
    </row>
    <row r="74">
      <c r="A74" s="13" t="n">
        <v>33</v>
      </c>
      <c r="B74" s="14">
        <f>F73</f>
        <v/>
      </c>
      <c r="C74" s="14">
        <f>E74-D74</f>
        <v/>
      </c>
      <c r="D74" s="14">
        <f>IF(A74&lt;=B7,B19/B7,0)</f>
        <v/>
      </c>
      <c r="E74" s="14">
        <f>IF(A74&lt;=B7,B21,0)</f>
        <v/>
      </c>
      <c r="F74" s="14">
        <f>MAX(B74-C74,0)</f>
        <v/>
      </c>
    </row>
    <row r="75">
      <c r="A75" s="13" t="n">
        <v>34</v>
      </c>
      <c r="B75" s="14">
        <f>F74</f>
        <v/>
      </c>
      <c r="C75" s="14">
        <f>E75-D75</f>
        <v/>
      </c>
      <c r="D75" s="14">
        <f>IF(A75&lt;=B7,B19/B7,0)</f>
        <v/>
      </c>
      <c r="E75" s="14">
        <f>IF(A75&lt;=B7,B21,0)</f>
        <v/>
      </c>
      <c r="F75" s="14">
        <f>MAX(B75-C75,0)</f>
        <v/>
      </c>
    </row>
    <row r="76">
      <c r="A76" s="13" t="n">
        <v>35</v>
      </c>
      <c r="B76" s="14">
        <f>F75</f>
        <v/>
      </c>
      <c r="C76" s="14">
        <f>E76-D76</f>
        <v/>
      </c>
      <c r="D76" s="14">
        <f>IF(A76&lt;=B7,B19/B7,0)</f>
        <v/>
      </c>
      <c r="E76" s="14">
        <f>IF(A76&lt;=B7,B21,0)</f>
        <v/>
      </c>
      <c r="F76" s="14">
        <f>MAX(B76-C76,0)</f>
        <v/>
      </c>
    </row>
    <row r="77">
      <c r="A77" s="13" t="n">
        <v>36</v>
      </c>
      <c r="B77" s="14">
        <f>F76</f>
        <v/>
      </c>
      <c r="C77" s="14">
        <f>E77-D77</f>
        <v/>
      </c>
      <c r="D77" s="14">
        <f>IF(A77&lt;=B7,B19/B7,0)</f>
        <v/>
      </c>
      <c r="E77" s="14">
        <f>IF(A77&lt;=B7,B21,0)</f>
        <v/>
      </c>
      <c r="F77" s="14">
        <f>MAX(B77-C77,0)</f>
        <v/>
      </c>
    </row>
    <row r="78">
      <c r="A78" s="13" t="n">
        <v>37</v>
      </c>
      <c r="B78" s="14">
        <f>F77</f>
        <v/>
      </c>
      <c r="C78" s="14">
        <f>E78-D78</f>
        <v/>
      </c>
      <c r="D78" s="14">
        <f>IF(A78&lt;=B7,B19/B7,0)</f>
        <v/>
      </c>
      <c r="E78" s="14">
        <f>IF(A78&lt;=B7,B21,0)</f>
        <v/>
      </c>
      <c r="F78" s="14">
        <f>MAX(B78-C78,0)</f>
        <v/>
      </c>
    </row>
    <row r="79">
      <c r="A79" s="13" t="n">
        <v>38</v>
      </c>
      <c r="B79" s="14">
        <f>F78</f>
        <v/>
      </c>
      <c r="C79" s="14">
        <f>E79-D79</f>
        <v/>
      </c>
      <c r="D79" s="14">
        <f>IF(A79&lt;=B7,B19/B7,0)</f>
        <v/>
      </c>
      <c r="E79" s="14">
        <f>IF(A79&lt;=B7,B21,0)</f>
        <v/>
      </c>
      <c r="F79" s="14">
        <f>MAX(B79-C79,0)</f>
        <v/>
      </c>
    </row>
    <row r="80">
      <c r="A80" s="13" t="n">
        <v>39</v>
      </c>
      <c r="B80" s="14">
        <f>F79</f>
        <v/>
      </c>
      <c r="C80" s="14">
        <f>E80-D80</f>
        <v/>
      </c>
      <c r="D80" s="14">
        <f>IF(A80&lt;=B7,B19/B7,0)</f>
        <v/>
      </c>
      <c r="E80" s="14">
        <f>IF(A80&lt;=B7,B21,0)</f>
        <v/>
      </c>
      <c r="F80" s="14">
        <f>MAX(B80-C80,0)</f>
        <v/>
      </c>
    </row>
    <row r="81">
      <c r="A81" s="13" t="n">
        <v>40</v>
      </c>
      <c r="B81" s="14">
        <f>F80</f>
        <v/>
      </c>
      <c r="C81" s="14">
        <f>E81-D81</f>
        <v/>
      </c>
      <c r="D81" s="14">
        <f>IF(A81&lt;=B7,B19/B7,0)</f>
        <v/>
      </c>
      <c r="E81" s="14">
        <f>IF(A81&lt;=B7,B21,0)</f>
        <v/>
      </c>
      <c r="F81" s="14">
        <f>MAX(B81-C81,0)</f>
        <v/>
      </c>
    </row>
    <row r="82">
      <c r="A82" s="13" t="n">
        <v>41</v>
      </c>
      <c r="B82" s="14">
        <f>F81</f>
        <v/>
      </c>
      <c r="C82" s="14">
        <f>E82-D82</f>
        <v/>
      </c>
      <c r="D82" s="14">
        <f>IF(A82&lt;=B7,B19/B7,0)</f>
        <v/>
      </c>
      <c r="E82" s="14">
        <f>IF(A82&lt;=B7,B21,0)</f>
        <v/>
      </c>
      <c r="F82" s="14">
        <f>MAX(B82-C82,0)</f>
        <v/>
      </c>
    </row>
    <row r="83">
      <c r="A83" s="13" t="n">
        <v>42</v>
      </c>
      <c r="B83" s="14">
        <f>F82</f>
        <v/>
      </c>
      <c r="C83" s="14">
        <f>E83-D83</f>
        <v/>
      </c>
      <c r="D83" s="14">
        <f>IF(A83&lt;=B7,B19/B7,0)</f>
        <v/>
      </c>
      <c r="E83" s="14">
        <f>IF(A83&lt;=B7,B21,0)</f>
        <v/>
      </c>
      <c r="F83" s="14">
        <f>MAX(B83-C83,0)</f>
        <v/>
      </c>
    </row>
    <row r="84">
      <c r="A84" s="13" t="n">
        <v>43</v>
      </c>
      <c r="B84" s="14">
        <f>F83</f>
        <v/>
      </c>
      <c r="C84" s="14">
        <f>E84-D84</f>
        <v/>
      </c>
      <c r="D84" s="14">
        <f>IF(A84&lt;=B7,B19/B7,0)</f>
        <v/>
      </c>
      <c r="E84" s="14">
        <f>IF(A84&lt;=B7,B21,0)</f>
        <v/>
      </c>
      <c r="F84" s="14">
        <f>MAX(B84-C84,0)</f>
        <v/>
      </c>
    </row>
    <row r="85">
      <c r="A85" s="13" t="n">
        <v>44</v>
      </c>
      <c r="B85" s="14">
        <f>F84</f>
        <v/>
      </c>
      <c r="C85" s="14">
        <f>E85-D85</f>
        <v/>
      </c>
      <c r="D85" s="14">
        <f>IF(A85&lt;=B7,B19/B7,0)</f>
        <v/>
      </c>
      <c r="E85" s="14">
        <f>IF(A85&lt;=B7,B21,0)</f>
        <v/>
      </c>
      <c r="F85" s="14">
        <f>MAX(B85-C85,0)</f>
        <v/>
      </c>
    </row>
    <row r="86">
      <c r="A86" s="13" t="n">
        <v>45</v>
      </c>
      <c r="B86" s="14">
        <f>F85</f>
        <v/>
      </c>
      <c r="C86" s="14">
        <f>E86-D86</f>
        <v/>
      </c>
      <c r="D86" s="14">
        <f>IF(A86&lt;=B7,B19/B7,0)</f>
        <v/>
      </c>
      <c r="E86" s="14">
        <f>IF(A86&lt;=B7,B21,0)</f>
        <v/>
      </c>
      <c r="F86" s="14">
        <f>MAX(B86-C86,0)</f>
        <v/>
      </c>
    </row>
    <row r="87">
      <c r="A87" s="13" t="n">
        <v>46</v>
      </c>
      <c r="B87" s="14">
        <f>F86</f>
        <v/>
      </c>
      <c r="C87" s="14">
        <f>E87-D87</f>
        <v/>
      </c>
      <c r="D87" s="14">
        <f>IF(A87&lt;=B7,B19/B7,0)</f>
        <v/>
      </c>
      <c r="E87" s="14">
        <f>IF(A87&lt;=B7,B21,0)</f>
        <v/>
      </c>
      <c r="F87" s="14">
        <f>MAX(B87-C87,0)</f>
        <v/>
      </c>
    </row>
    <row r="88">
      <c r="A88" s="13" t="n">
        <v>47</v>
      </c>
      <c r="B88" s="14">
        <f>F87</f>
        <v/>
      </c>
      <c r="C88" s="14">
        <f>E88-D88</f>
        <v/>
      </c>
      <c r="D88" s="14">
        <f>IF(A88&lt;=B7,B19/B7,0)</f>
        <v/>
      </c>
      <c r="E88" s="14">
        <f>IF(A88&lt;=B7,B21,0)</f>
        <v/>
      </c>
      <c r="F88" s="14">
        <f>MAX(B88-C88,0)</f>
        <v/>
      </c>
    </row>
    <row r="89">
      <c r="A89" s="13" t="n">
        <v>48</v>
      </c>
      <c r="B89" s="14">
        <f>F88</f>
        <v/>
      </c>
      <c r="C89" s="14">
        <f>E89-D89</f>
        <v/>
      </c>
      <c r="D89" s="14">
        <f>IF(A89&lt;=B7,B19/B7,0)</f>
        <v/>
      </c>
      <c r="E89" s="14">
        <f>IF(A89&lt;=B7,B21,0)</f>
        <v/>
      </c>
      <c r="F89" s="14">
        <f>MAX(B89-C89,0)</f>
        <v/>
      </c>
    </row>
    <row r="90">
      <c r="A90" s="13" t="n">
        <v>49</v>
      </c>
      <c r="B90" s="14">
        <f>F89</f>
        <v/>
      </c>
      <c r="C90" s="14">
        <f>E90-D90</f>
        <v/>
      </c>
      <c r="D90" s="14">
        <f>IF(A90&lt;=B7,B19/B7,0)</f>
        <v/>
      </c>
      <c r="E90" s="14">
        <f>IF(A90&lt;=B7,B21,0)</f>
        <v/>
      </c>
      <c r="F90" s="14">
        <f>MAX(B90-C90,0)</f>
        <v/>
      </c>
    </row>
    <row r="91">
      <c r="A91" s="13" t="n">
        <v>50</v>
      </c>
      <c r="B91" s="14">
        <f>F90</f>
        <v/>
      </c>
      <c r="C91" s="14">
        <f>E91-D91</f>
        <v/>
      </c>
      <c r="D91" s="14">
        <f>IF(A91&lt;=B7,B19/B7,0)</f>
        <v/>
      </c>
      <c r="E91" s="14">
        <f>IF(A91&lt;=B7,B21,0)</f>
        <v/>
      </c>
      <c r="F91" s="14">
        <f>MAX(B91-C91,0)</f>
        <v/>
      </c>
    </row>
    <row r="92">
      <c r="A92" s="13" t="n">
        <v>51</v>
      </c>
      <c r="B92" s="14">
        <f>F91</f>
        <v/>
      </c>
      <c r="C92" s="14">
        <f>E92-D92</f>
        <v/>
      </c>
      <c r="D92" s="14">
        <f>IF(A92&lt;=B7,B19/B7,0)</f>
        <v/>
      </c>
      <c r="E92" s="14">
        <f>IF(A92&lt;=B7,B21,0)</f>
        <v/>
      </c>
      <c r="F92" s="14">
        <f>MAX(B92-C92,0)</f>
        <v/>
      </c>
    </row>
    <row r="93">
      <c r="A93" s="13" t="n">
        <v>52</v>
      </c>
      <c r="B93" s="14">
        <f>F92</f>
        <v/>
      </c>
      <c r="C93" s="14">
        <f>E93-D93</f>
        <v/>
      </c>
      <c r="D93" s="14">
        <f>IF(A93&lt;=B7,B19/B7,0)</f>
        <v/>
      </c>
      <c r="E93" s="14">
        <f>IF(A93&lt;=B7,B21,0)</f>
        <v/>
      </c>
      <c r="F93" s="14">
        <f>MAX(B93-C93,0)</f>
        <v/>
      </c>
    </row>
    <row r="94">
      <c r="A94" s="13" t="n">
        <v>53</v>
      </c>
      <c r="B94" s="14">
        <f>F93</f>
        <v/>
      </c>
      <c r="C94" s="14">
        <f>E94-D94</f>
        <v/>
      </c>
      <c r="D94" s="14">
        <f>IF(A94&lt;=B7,B19/B7,0)</f>
        <v/>
      </c>
      <c r="E94" s="14">
        <f>IF(A94&lt;=B7,B21,0)</f>
        <v/>
      </c>
      <c r="F94" s="14">
        <f>MAX(B94-C94,0)</f>
        <v/>
      </c>
    </row>
    <row r="95">
      <c r="A95" s="13" t="n">
        <v>54</v>
      </c>
      <c r="B95" s="14">
        <f>F94</f>
        <v/>
      </c>
      <c r="C95" s="14">
        <f>E95-D95</f>
        <v/>
      </c>
      <c r="D95" s="14">
        <f>IF(A95&lt;=B7,B19/B7,0)</f>
        <v/>
      </c>
      <c r="E95" s="14">
        <f>IF(A95&lt;=B7,B21,0)</f>
        <v/>
      </c>
      <c r="F95" s="14">
        <f>MAX(B95-C95,0)</f>
        <v/>
      </c>
    </row>
    <row r="96">
      <c r="A96" s="13" t="n">
        <v>55</v>
      </c>
      <c r="B96" s="14">
        <f>F95</f>
        <v/>
      </c>
      <c r="C96" s="14">
        <f>E96-D96</f>
        <v/>
      </c>
      <c r="D96" s="14">
        <f>IF(A96&lt;=B7,B19/B7,0)</f>
        <v/>
      </c>
      <c r="E96" s="14">
        <f>IF(A96&lt;=B7,B21,0)</f>
        <v/>
      </c>
      <c r="F96" s="14">
        <f>MAX(B96-C96,0)</f>
        <v/>
      </c>
    </row>
    <row r="97">
      <c r="A97" s="13" t="n">
        <v>56</v>
      </c>
      <c r="B97" s="14">
        <f>F96</f>
        <v/>
      </c>
      <c r="C97" s="14">
        <f>E97-D97</f>
        <v/>
      </c>
      <c r="D97" s="14">
        <f>IF(A97&lt;=B7,B19/B7,0)</f>
        <v/>
      </c>
      <c r="E97" s="14">
        <f>IF(A97&lt;=B7,B21,0)</f>
        <v/>
      </c>
      <c r="F97" s="14">
        <f>MAX(B97-C97,0)</f>
        <v/>
      </c>
    </row>
    <row r="98">
      <c r="A98" s="13" t="n">
        <v>57</v>
      </c>
      <c r="B98" s="14">
        <f>F97</f>
        <v/>
      </c>
      <c r="C98" s="14">
        <f>E98-D98</f>
        <v/>
      </c>
      <c r="D98" s="14">
        <f>IF(A98&lt;=B7,B19/B7,0)</f>
        <v/>
      </c>
      <c r="E98" s="14">
        <f>IF(A98&lt;=B7,B21,0)</f>
        <v/>
      </c>
      <c r="F98" s="14">
        <f>MAX(B98-C98,0)</f>
        <v/>
      </c>
    </row>
    <row r="99">
      <c r="A99" s="13" t="n">
        <v>58</v>
      </c>
      <c r="B99" s="14">
        <f>F98</f>
        <v/>
      </c>
      <c r="C99" s="14">
        <f>E99-D99</f>
        <v/>
      </c>
      <c r="D99" s="14">
        <f>IF(A99&lt;=B7,B19/B7,0)</f>
        <v/>
      </c>
      <c r="E99" s="14">
        <f>IF(A99&lt;=B7,B21,0)</f>
        <v/>
      </c>
      <c r="F99" s="14">
        <f>MAX(B99-C99,0)</f>
        <v/>
      </c>
    </row>
    <row r="100">
      <c r="A100" s="13" t="n">
        <v>59</v>
      </c>
      <c r="B100" s="14">
        <f>F99</f>
        <v/>
      </c>
      <c r="C100" s="14">
        <f>E100-D100</f>
        <v/>
      </c>
      <c r="D100" s="14">
        <f>IF(A100&lt;=B7,B19/B7,0)</f>
        <v/>
      </c>
      <c r="E100" s="14">
        <f>IF(A100&lt;=B7,B21,0)</f>
        <v/>
      </c>
      <c r="F100" s="14">
        <f>MAX(B100-C100,0)</f>
        <v/>
      </c>
    </row>
    <row r="101">
      <c r="A101" s="13" t="n">
        <v>60</v>
      </c>
      <c r="B101" s="14">
        <f>F100</f>
        <v/>
      </c>
      <c r="C101" s="14">
        <f>E101-D101</f>
        <v/>
      </c>
      <c r="D101" s="14">
        <f>IF(A101&lt;=B7,B19/B7,0)</f>
        <v/>
      </c>
      <c r="E101" s="14">
        <f>IF(A101&lt;=B7,B21,0)</f>
        <v/>
      </c>
      <c r="F101" s="14">
        <f>MAX(B101-C101,0)</f>
        <v/>
      </c>
    </row>
  </sheetData>
  <mergeCells count="4">
    <mergeCell ref="A3:F3"/>
    <mergeCell ref="A2:F2"/>
    <mergeCell ref="A38:F3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2026-10-26T16:43:27Z</dcterms:created>
  <dcterms:modified xsi:type="dcterms:W3CDTF">2026-10-26T16:43:27Z</dcterms:modified>
</cp:coreProperties>
</file>