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ergency L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</font>
    <font>
      <name val="Arial"/>
      <color rgb="00000000"/>
    </font>
    <font>
      <name val="Arial"/>
      <b val="1"/>
      <color rgb="000000FF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AD3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1" pivotButton="0" quotePrefix="0" xfId="0"/>
    <xf numFmtId="1" fontId="5" fillId="2" borderId="1" pivotButton="0" quotePrefix="0" xfId="0"/>
    <xf numFmtId="10" fontId="5" fillId="2" borderId="1" pivotButton="0" quotePrefix="0" xfId="0"/>
    <xf numFmtId="164" fontId="4" fillId="0" borderId="1" pivotButton="0" quotePrefix="0" xfId="0"/>
    <xf numFmtId="164" fontId="3" fillId="0" borderId="1" pivotButton="0" quotePrefix="0" xfId="0"/>
    <xf numFmtId="164" fontId="3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2" customWidth="1" min="5" max="5"/>
    <col width="20" customWidth="1" min="6" max="6"/>
  </cols>
  <sheetData>
    <row r="1">
      <c r="A1" s="1" t="inlineStr">
        <is>
          <t>TTMPC Emergency Loan Calculator</t>
        </is>
      </c>
    </row>
    <row r="2">
      <c r="A2" s="2" t="inlineStr">
        <is>
          <t>Interest: 2% diminishing, applied on release and every month on remaining balance. Equal principal + declining interest.</t>
        </is>
      </c>
    </row>
    <row r="3">
      <c r="A3" s="2" t="inlineStr">
        <is>
          <t>Legend: Blue = input cell you may edit  |  Black = formula (auto-calculated)</t>
        </is>
      </c>
    </row>
    <row r="5">
      <c r="A5" s="3" t="inlineStr">
        <is>
          <t>INPUTS</t>
        </is>
      </c>
    </row>
    <row r="6">
      <c r="A6" s="4" t="inlineStr">
        <is>
          <t>Loan Amount Applied (Principal, max ₱20,000)</t>
        </is>
      </c>
      <c r="B6" s="5" t="n">
        <v>20000</v>
      </c>
    </row>
    <row r="7">
      <c r="A7" s="4" t="inlineStr">
        <is>
          <t>Term (months) — 6 or 12 only</t>
        </is>
      </c>
      <c r="B7" s="6" t="n">
        <v>12</v>
      </c>
    </row>
    <row r="8">
      <c r="A8" s="4" t="inlineStr">
        <is>
          <t>Monthly Diminishing Interest Rate</t>
        </is>
      </c>
      <c r="B8" s="7" t="n">
        <v>0.02</v>
      </c>
    </row>
    <row r="9">
      <c r="A9" s="4" t="inlineStr">
        <is>
          <t>Service Fee (₱)</t>
        </is>
      </c>
      <c r="B9" s="5" t="n">
        <v>100</v>
      </c>
    </row>
    <row r="10">
      <c r="A10" s="4" t="inlineStr">
        <is>
          <t>Capital Build-Up Rate (% of loan)</t>
        </is>
      </c>
      <c r="B10" s="7" t="n">
        <v>0.02</v>
      </c>
    </row>
    <row r="12">
      <c r="A12" s="3" t="inlineStr">
        <is>
          <t>COMPUTATION</t>
        </is>
      </c>
    </row>
    <row r="13">
      <c r="A13" s="4" t="inlineStr">
        <is>
          <t>Principal Component per Month (equal)</t>
        </is>
      </c>
      <c r="B13" s="8">
        <f>B6/B7</f>
        <v/>
      </c>
    </row>
    <row r="14">
      <c r="A14" s="4" t="inlineStr">
        <is>
          <t>First-Month Interest (on full principal)</t>
        </is>
      </c>
      <c r="B14" s="8">
        <f>B6*B8</f>
        <v/>
      </c>
    </row>
    <row r="15">
      <c r="A15" s="4" t="inlineStr">
        <is>
          <t>First-Month Amortization</t>
        </is>
      </c>
      <c r="B15" s="8">
        <f>B13+B14</f>
        <v/>
      </c>
    </row>
    <row r="16">
      <c r="A16" s="4" t="inlineStr">
        <is>
          <t>Capital Build-Up (CBU, 2% of loan)</t>
        </is>
      </c>
      <c r="B16" s="8">
        <f>B6*B10</f>
        <v/>
      </c>
    </row>
    <row r="18">
      <c r="A18" s="3" t="inlineStr">
        <is>
          <t>DEDUCTIONS FROM PROCEEDS</t>
        </is>
      </c>
    </row>
    <row r="19">
      <c r="A19" s="4" t="inlineStr">
        <is>
          <t>Capital Build-Up (CBU)</t>
        </is>
      </c>
      <c r="B19" s="8">
        <f>B16</f>
        <v/>
      </c>
    </row>
    <row r="20">
      <c r="A20" s="4" t="inlineStr">
        <is>
          <t>Service Fee</t>
        </is>
      </c>
      <c r="B20" s="8">
        <f>B9</f>
        <v/>
      </c>
    </row>
    <row r="21">
      <c r="A21" s="3" t="inlineStr">
        <is>
          <t>Total Deductions</t>
        </is>
      </c>
      <c r="B21" s="9">
        <f>SUM(B19:B20)</f>
        <v/>
      </c>
    </row>
    <row r="22">
      <c r="A22" s="3" t="inlineStr">
        <is>
          <t>NET PROCEEDS TO MEMBER</t>
        </is>
      </c>
      <c r="B22" s="10">
        <f>B6-B21</f>
        <v/>
      </c>
    </row>
    <row r="24" ht="30" customHeight="1">
      <c r="A24" s="2" t="inlineStr">
        <is>
          <t>Note: Deed of Assignment required (borrower assigns salary/benefits as collateral). Diminishing interest = equal principal each month + interest on the remaining declining balance.</t>
        </is>
      </c>
    </row>
    <row r="26">
      <c r="A26" s="3" t="inlineStr">
        <is>
          <t>AMORTIZATION SCHEDULE (equal principal, diminishing interest)</t>
        </is>
      </c>
    </row>
    <row r="27">
      <c r="A27" s="11" t="inlineStr">
        <is>
          <t>Month</t>
        </is>
      </c>
      <c r="B27" s="11" t="inlineStr">
        <is>
          <t>Beginning Balance</t>
        </is>
      </c>
      <c r="C27" s="11" t="inlineStr">
        <is>
          <t>Principal Due</t>
        </is>
      </c>
      <c r="D27" s="11" t="inlineStr">
        <is>
          <t>Interest Due</t>
        </is>
      </c>
      <c r="E27" s="11" t="inlineStr">
        <is>
          <t>Monthly Amortization</t>
        </is>
      </c>
      <c r="F27" s="11" t="inlineStr">
        <is>
          <t>Ending Balance</t>
        </is>
      </c>
    </row>
    <row r="28">
      <c r="A28" s="12" t="n">
        <v>1</v>
      </c>
      <c r="B28" s="13">
        <f>B6</f>
        <v/>
      </c>
      <c r="C28" s="13">
        <f>IF(A28&lt;=B7,B6/B7,0)</f>
        <v/>
      </c>
      <c r="D28" s="13">
        <f>IF(A28&lt;=B7,B28*B8,0)</f>
        <v/>
      </c>
      <c r="E28" s="13">
        <f>C28+D28</f>
        <v/>
      </c>
      <c r="F28" s="13">
        <f>MAX(B28-C28,0)</f>
        <v/>
      </c>
    </row>
    <row r="29">
      <c r="A29" s="12" t="n">
        <v>2</v>
      </c>
      <c r="B29" s="13">
        <f>F28</f>
        <v/>
      </c>
      <c r="C29" s="13">
        <f>IF(A29&lt;=B7,B6/B7,0)</f>
        <v/>
      </c>
      <c r="D29" s="13">
        <f>IF(A29&lt;=B7,B29*B8,0)</f>
        <v/>
      </c>
      <c r="E29" s="13">
        <f>C29+D29</f>
        <v/>
      </c>
      <c r="F29" s="13">
        <f>MAX(B29-C29,0)</f>
        <v/>
      </c>
    </row>
    <row r="30">
      <c r="A30" s="12" t="n">
        <v>3</v>
      </c>
      <c r="B30" s="13">
        <f>F29</f>
        <v/>
      </c>
      <c r="C30" s="13">
        <f>IF(A30&lt;=B7,B6/B7,0)</f>
        <v/>
      </c>
      <c r="D30" s="13">
        <f>IF(A30&lt;=B7,B30*B8,0)</f>
        <v/>
      </c>
      <c r="E30" s="13">
        <f>C30+D30</f>
        <v/>
      </c>
      <c r="F30" s="13">
        <f>MAX(B30-C30,0)</f>
        <v/>
      </c>
    </row>
    <row r="31">
      <c r="A31" s="12" t="n">
        <v>4</v>
      </c>
      <c r="B31" s="13">
        <f>F30</f>
        <v/>
      </c>
      <c r="C31" s="13">
        <f>IF(A31&lt;=B7,B6/B7,0)</f>
        <v/>
      </c>
      <c r="D31" s="13">
        <f>IF(A31&lt;=B7,B31*B8,0)</f>
        <v/>
      </c>
      <c r="E31" s="13">
        <f>C31+D31</f>
        <v/>
      </c>
      <c r="F31" s="13">
        <f>MAX(B31-C31,0)</f>
        <v/>
      </c>
    </row>
    <row r="32">
      <c r="A32" s="12" t="n">
        <v>5</v>
      </c>
      <c r="B32" s="13">
        <f>F31</f>
        <v/>
      </c>
      <c r="C32" s="13">
        <f>IF(A32&lt;=B7,B6/B7,0)</f>
        <v/>
      </c>
      <c r="D32" s="13">
        <f>IF(A32&lt;=B7,B32*B8,0)</f>
        <v/>
      </c>
      <c r="E32" s="13">
        <f>C32+D32</f>
        <v/>
      </c>
      <c r="F32" s="13">
        <f>MAX(B32-C32,0)</f>
        <v/>
      </c>
    </row>
    <row r="33">
      <c r="A33" s="12" t="n">
        <v>6</v>
      </c>
      <c r="B33" s="13">
        <f>F32</f>
        <v/>
      </c>
      <c r="C33" s="13">
        <f>IF(A33&lt;=B7,B6/B7,0)</f>
        <v/>
      </c>
      <c r="D33" s="13">
        <f>IF(A33&lt;=B7,B33*B8,0)</f>
        <v/>
      </c>
      <c r="E33" s="13">
        <f>C33+D33</f>
        <v/>
      </c>
      <c r="F33" s="13">
        <f>MAX(B33-C33,0)</f>
        <v/>
      </c>
    </row>
    <row r="34">
      <c r="A34" s="12" t="n">
        <v>7</v>
      </c>
      <c r="B34" s="13">
        <f>F33</f>
        <v/>
      </c>
      <c r="C34" s="13">
        <f>IF(A34&lt;=B7,B6/B7,0)</f>
        <v/>
      </c>
      <c r="D34" s="13">
        <f>IF(A34&lt;=B7,B34*B8,0)</f>
        <v/>
      </c>
      <c r="E34" s="13">
        <f>C34+D34</f>
        <v/>
      </c>
      <c r="F34" s="13">
        <f>MAX(B34-C34,0)</f>
        <v/>
      </c>
    </row>
    <row r="35">
      <c r="A35" s="12" t="n">
        <v>8</v>
      </c>
      <c r="B35" s="13">
        <f>F34</f>
        <v/>
      </c>
      <c r="C35" s="13">
        <f>IF(A35&lt;=B7,B6/B7,0)</f>
        <v/>
      </c>
      <c r="D35" s="13">
        <f>IF(A35&lt;=B7,B35*B8,0)</f>
        <v/>
      </c>
      <c r="E35" s="13">
        <f>C35+D35</f>
        <v/>
      </c>
      <c r="F35" s="13">
        <f>MAX(B35-C35,0)</f>
        <v/>
      </c>
    </row>
    <row r="36">
      <c r="A36" s="12" t="n">
        <v>9</v>
      </c>
      <c r="B36" s="13">
        <f>F35</f>
        <v/>
      </c>
      <c r="C36" s="13">
        <f>IF(A36&lt;=B7,B6/B7,0)</f>
        <v/>
      </c>
      <c r="D36" s="13">
        <f>IF(A36&lt;=B7,B36*B8,0)</f>
        <v/>
      </c>
      <c r="E36" s="13">
        <f>C36+D36</f>
        <v/>
      </c>
      <c r="F36" s="13">
        <f>MAX(B36-C36,0)</f>
        <v/>
      </c>
    </row>
    <row r="37">
      <c r="A37" s="12" t="n">
        <v>10</v>
      </c>
      <c r="B37" s="13">
        <f>F36</f>
        <v/>
      </c>
      <c r="C37" s="13">
        <f>IF(A37&lt;=B7,B6/B7,0)</f>
        <v/>
      </c>
      <c r="D37" s="13">
        <f>IF(A37&lt;=B7,B37*B8,0)</f>
        <v/>
      </c>
      <c r="E37" s="13">
        <f>C37+D37</f>
        <v/>
      </c>
      <c r="F37" s="13">
        <f>MAX(B37-C37,0)</f>
        <v/>
      </c>
    </row>
    <row r="38">
      <c r="A38" s="12" t="n">
        <v>11</v>
      </c>
      <c r="B38" s="13">
        <f>F37</f>
        <v/>
      </c>
      <c r="C38" s="13">
        <f>IF(A38&lt;=B7,B6/B7,0)</f>
        <v/>
      </c>
      <c r="D38" s="13">
        <f>IF(A38&lt;=B7,B38*B8,0)</f>
        <v/>
      </c>
      <c r="E38" s="13">
        <f>C38+D38</f>
        <v/>
      </c>
      <c r="F38" s="13">
        <f>MAX(B38-C38,0)</f>
        <v/>
      </c>
    </row>
    <row r="39">
      <c r="A39" s="12" t="n">
        <v>12</v>
      </c>
      <c r="B39" s="13">
        <f>F38</f>
        <v/>
      </c>
      <c r="C39" s="13">
        <f>IF(A39&lt;=B7,B6/B7,0)</f>
        <v/>
      </c>
      <c r="D39" s="13">
        <f>IF(A39&lt;=B7,B39*B8,0)</f>
        <v/>
      </c>
      <c r="E39" s="13">
        <f>C39+D39</f>
        <v/>
      </c>
      <c r="F39" s="13">
        <f>MAX(B39-C39,0)</f>
        <v/>
      </c>
    </row>
  </sheetData>
  <mergeCells count="4">
    <mergeCell ref="A3:F3"/>
    <mergeCell ref="A2:F2"/>
    <mergeCell ref="A1:F1"/>
    <mergeCell ref="A24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2026-10-26T16:43:27Z</dcterms:created>
  <dcterms:modified xsi:type="dcterms:W3CDTF">2026-10-26T16:43:27Z</dcterms:modified>
</cp:coreProperties>
</file>