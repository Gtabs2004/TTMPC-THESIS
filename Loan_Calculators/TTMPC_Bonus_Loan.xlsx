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 - Member" sheetId="1" state="visible" r:id="rId1"/>
    <sheet name="Bonus - Non-Mem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</font>
    <font>
      <name val="Arial"/>
      <color rgb="00000000"/>
    </font>
    <font>
      <name val="Arial"/>
      <b val="1"/>
      <color rgb="000000FF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pivotButton="0" quotePrefix="0" xfId="0"/>
    <xf numFmtId="1" fontId="5" fillId="2" borderId="1" pivotButton="0" quotePrefix="0" xfId="0"/>
    <xf numFmtId="10" fontId="5" fillId="2" borderId="1" pivotButton="0" quotePrefix="0" xfId="0"/>
    <xf numFmtId="164" fontId="4" fillId="0" borderId="1" pivotButton="0" quotePrefix="0" xfId="0"/>
    <xf numFmtId="164" fontId="3" fillId="0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TTMPC Bonus Loan Calculator — Member (Regular / Coop)</t>
        </is>
      </c>
    </row>
    <row r="2">
      <c r="A2" s="2" t="inlineStr">
        <is>
          <t>Saka model (current, 2026-10-18): upfront interest = Principal x Monthly Rate x Term, deducted at release. Borrower owes principal only at the bonus month (interest already collected).</t>
        </is>
      </c>
    </row>
    <row r="3">
      <c r="A3" s="2" t="inlineStr">
        <is>
          <t>Legend: Blue = input cell you may edit  |  Black = formula (auto-calculated)</t>
        </is>
      </c>
    </row>
    <row r="5">
      <c r="A5" s="3" t="inlineStr">
        <is>
          <t>INPUTS</t>
        </is>
      </c>
    </row>
    <row r="6">
      <c r="A6" s="4" t="inlineStr">
        <is>
          <t>Loan Amount (= Bonus Amount Expected)</t>
        </is>
      </c>
      <c r="B6" s="5" t="n">
        <v>15000</v>
      </c>
    </row>
    <row r="7">
      <c r="A7" s="4" t="inlineStr">
        <is>
          <t>Term (months until target bonus release)</t>
        </is>
      </c>
      <c r="B7" s="6" t="n">
        <v>5</v>
      </c>
    </row>
    <row r="8">
      <c r="A8" s="4" t="inlineStr">
        <is>
          <t>Monthly Interest Rate (Regular Member)</t>
        </is>
      </c>
      <c r="B8" s="7" t="n">
        <v>0.02</v>
      </c>
    </row>
    <row r="9">
      <c r="A9" s="4" t="inlineStr">
        <is>
          <t>Service Fee (₱)</t>
        </is>
      </c>
      <c r="B9" s="5" t="n">
        <v>100</v>
      </c>
    </row>
    <row r="10">
      <c r="A10" s="4" t="inlineStr">
        <is>
          <t>Months Renewal Missed (for penalty calc, else 0)</t>
        </is>
      </c>
      <c r="B10" s="6" t="n">
        <v>0</v>
      </c>
    </row>
    <row r="11">
      <c r="A11" s="4" t="inlineStr">
        <is>
          <t>Failure-to-Renew Penalty Rate (per month, on remaining balance)</t>
        </is>
      </c>
      <c r="B11" s="7" t="n">
        <v>0.01</v>
      </c>
    </row>
    <row r="13">
      <c r="A13" s="3" t="inlineStr">
        <is>
          <t>COMPUTATION (Saka upfront deduction)</t>
        </is>
      </c>
    </row>
    <row r="14">
      <c r="A14" s="4" t="inlineStr">
        <is>
          <t>Upfront Interest (Principal x Rate x Term, deducted at release)</t>
        </is>
      </c>
      <c r="B14" s="8">
        <f>B6*B8*B7</f>
        <v/>
      </c>
    </row>
    <row r="15">
      <c r="A15" s="4" t="inlineStr">
        <is>
          <t>Failure-to-Renew Penalty (Principal x Penalty Rate x Months Missed)</t>
        </is>
      </c>
      <c r="B15" s="8">
        <f>B6*B11*B10</f>
        <v/>
      </c>
    </row>
    <row r="16">
      <c r="A16" s="4" t="inlineStr">
        <is>
          <t>Principal Owed at Bonus Release (interest already collected)</t>
        </is>
      </c>
      <c r="B16" s="8">
        <f>B6</f>
        <v/>
      </c>
    </row>
    <row r="18">
      <c r="A18" s="3" t="inlineStr">
        <is>
          <t>DEDUCTIONS FROM PROCEEDS AT RELEASE</t>
        </is>
      </c>
    </row>
    <row r="19">
      <c r="A19" s="4" t="inlineStr">
        <is>
          <t>Upfront Interest</t>
        </is>
      </c>
      <c r="B19" s="8">
        <f>B14</f>
        <v/>
      </c>
    </row>
    <row r="20">
      <c r="A20" s="4" t="inlineStr">
        <is>
          <t>Service Fee</t>
        </is>
      </c>
      <c r="B20" s="8">
        <f>B9</f>
        <v/>
      </c>
    </row>
    <row r="21">
      <c r="A21" s="3" t="inlineStr">
        <is>
          <t>Total Deductions</t>
        </is>
      </c>
      <c r="B21" s="9">
        <f>SUM(B19:B20)</f>
        <v/>
      </c>
    </row>
    <row r="22">
      <c r="A22" s="3" t="inlineStr">
        <is>
          <t>NET PROCEEDS AT RELEASE</t>
        </is>
      </c>
      <c r="B22" s="10">
        <f>B6-B21</f>
        <v/>
      </c>
    </row>
    <row r="23">
      <c r="A23" s="3">
        <f>IF(B22&lt;=0,"BLOCKED: net proceeds &lt;= 0 — reduce term or principal.","OK: net proceeds positive.")</f>
        <v/>
      </c>
    </row>
    <row r="25">
      <c r="A25" s="3" t="inlineStr">
        <is>
          <t>AMOUNT DUE AT BONUS RELEASE MONTH</t>
        </is>
      </c>
    </row>
    <row r="26">
      <c r="A26" s="4" t="inlineStr">
        <is>
          <t>Principal Due</t>
        </is>
      </c>
      <c r="B26" s="8">
        <f>B6</f>
        <v/>
      </c>
    </row>
    <row r="27">
      <c r="A27" s="4" t="inlineStr">
        <is>
          <t>Plus: Failure-to-Renew Penalty (if any)</t>
        </is>
      </c>
      <c r="B27" s="8">
        <f>B15</f>
        <v/>
      </c>
    </row>
    <row r="28">
      <c r="A28" s="3" t="inlineStr">
        <is>
          <t>Total Due at Bonus Release</t>
        </is>
      </c>
      <c r="B28" s="11">
        <f>B26+B27</f>
        <v/>
      </c>
    </row>
    <row r="30" ht="55" customHeight="1">
      <c r="A30" s="2" t="inlineStr">
        <is>
          <t>Note (current rule, 2026-10-18): interest is deducted upfront at release (Saka model); borrower repays principal only, in one lump sum, at the bonus month. Renewal is monthly until the target bonus arrives; failure to renew adds 1%/month penalty on the remaining balance. Amount must equal the borrower's own expected bonus (mid-year or year-end). Rate: 2%/month for regular/coop members, 3%/month for non-coop members.</t>
        </is>
      </c>
    </row>
  </sheetData>
  <mergeCells count="4">
    <mergeCell ref="A3:F3"/>
    <mergeCell ref="A2:F2"/>
    <mergeCell ref="A1:F1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TTMPC Bonus Loan Calculator — Non-Member (Non-Coop)</t>
        </is>
      </c>
    </row>
    <row r="2">
      <c r="A2" s="2" t="inlineStr">
        <is>
          <t>Saka model (current, 2026-10-18): upfront interest = Principal x Monthly Rate x Term, deducted at release. Borrower owes principal only at the bonus month (interest already collected).</t>
        </is>
      </c>
    </row>
    <row r="3">
      <c r="A3" s="2" t="inlineStr">
        <is>
          <t>Legend: Blue = input cell you may edit  |  Black = formula (auto-calculated)</t>
        </is>
      </c>
    </row>
    <row r="5">
      <c r="A5" s="3" t="inlineStr">
        <is>
          <t>INPUTS</t>
        </is>
      </c>
    </row>
    <row r="6">
      <c r="A6" s="4" t="inlineStr">
        <is>
          <t>Loan Amount (= Bonus Amount Expected)</t>
        </is>
      </c>
      <c r="B6" s="5" t="n">
        <v>15000</v>
      </c>
    </row>
    <row r="7">
      <c r="A7" s="4" t="inlineStr">
        <is>
          <t>Term (months until target bonus release)</t>
        </is>
      </c>
      <c r="B7" s="6" t="n">
        <v>5</v>
      </c>
    </row>
    <row r="8">
      <c r="A8" s="4" t="inlineStr">
        <is>
          <t>Monthly Interest Rate (Non-Coop Member)</t>
        </is>
      </c>
      <c r="B8" s="7" t="n">
        <v>0.03</v>
      </c>
    </row>
    <row r="9">
      <c r="A9" s="4" t="inlineStr">
        <is>
          <t>Service Fee (₱)</t>
        </is>
      </c>
      <c r="B9" s="5" t="n">
        <v>100</v>
      </c>
    </row>
    <row r="10">
      <c r="A10" s="4" t="inlineStr">
        <is>
          <t>Months Renewal Missed (for penalty calc, else 0)</t>
        </is>
      </c>
      <c r="B10" s="6" t="n">
        <v>0</v>
      </c>
    </row>
    <row r="11">
      <c r="A11" s="4" t="inlineStr">
        <is>
          <t>Failure-to-Renew Penalty Rate (per month, on remaining balance)</t>
        </is>
      </c>
      <c r="B11" s="7" t="n">
        <v>0.01</v>
      </c>
    </row>
    <row r="13">
      <c r="A13" s="3" t="inlineStr">
        <is>
          <t>COMPUTATION (Saka upfront deduction)</t>
        </is>
      </c>
    </row>
    <row r="14">
      <c r="A14" s="4" t="inlineStr">
        <is>
          <t>Upfront Interest (Principal x Rate x Term, deducted at release)</t>
        </is>
      </c>
      <c r="B14" s="8">
        <f>B6*B8*B7</f>
        <v/>
      </c>
    </row>
    <row r="15">
      <c r="A15" s="4" t="inlineStr">
        <is>
          <t>Failure-to-Renew Penalty (Principal x Penalty Rate x Months Missed)</t>
        </is>
      </c>
      <c r="B15" s="8">
        <f>B6*B11*B10</f>
        <v/>
      </c>
    </row>
    <row r="16">
      <c r="A16" s="4" t="inlineStr">
        <is>
          <t>Principal Owed at Bonus Release (interest already collected)</t>
        </is>
      </c>
      <c r="B16" s="8">
        <f>B6</f>
        <v/>
      </c>
    </row>
    <row r="18">
      <c r="A18" s="3" t="inlineStr">
        <is>
          <t>DEDUCTIONS FROM PROCEEDS AT RELEASE</t>
        </is>
      </c>
    </row>
    <row r="19">
      <c r="A19" s="4" t="inlineStr">
        <is>
          <t>Upfront Interest</t>
        </is>
      </c>
      <c r="B19" s="8">
        <f>B14</f>
        <v/>
      </c>
    </row>
    <row r="20">
      <c r="A20" s="4" t="inlineStr">
        <is>
          <t>Service Fee</t>
        </is>
      </c>
      <c r="B20" s="8">
        <f>B9</f>
        <v/>
      </c>
    </row>
    <row r="21">
      <c r="A21" s="3" t="inlineStr">
        <is>
          <t>Total Deductions</t>
        </is>
      </c>
      <c r="B21" s="9">
        <f>SUM(B19:B20)</f>
        <v/>
      </c>
    </row>
    <row r="22">
      <c r="A22" s="3" t="inlineStr">
        <is>
          <t>NET PROCEEDS AT RELEASE</t>
        </is>
      </c>
      <c r="B22" s="10">
        <f>B6-B21</f>
        <v/>
      </c>
    </row>
    <row r="23">
      <c r="A23" s="3">
        <f>IF(B22&lt;=0,"BLOCKED: net proceeds &lt;= 0 — reduce term or principal.","OK: net proceeds positive.")</f>
        <v/>
      </c>
    </row>
    <row r="25">
      <c r="A25" s="3" t="inlineStr">
        <is>
          <t>AMOUNT DUE AT BONUS RELEASE MONTH</t>
        </is>
      </c>
    </row>
    <row r="26">
      <c r="A26" s="4" t="inlineStr">
        <is>
          <t>Principal Due</t>
        </is>
      </c>
      <c r="B26" s="8">
        <f>B6</f>
        <v/>
      </c>
    </row>
    <row r="27">
      <c r="A27" s="4" t="inlineStr">
        <is>
          <t>Plus: Failure-to-Renew Penalty (if any)</t>
        </is>
      </c>
      <c r="B27" s="8">
        <f>B15</f>
        <v/>
      </c>
    </row>
    <row r="28">
      <c r="A28" s="3" t="inlineStr">
        <is>
          <t>Total Due at Bonus Release</t>
        </is>
      </c>
      <c r="B28" s="11">
        <f>B26+B27</f>
        <v/>
      </c>
    </row>
    <row r="30" ht="55" customHeight="1">
      <c r="A30" s="2" t="inlineStr">
        <is>
          <t>Note (current rule, 2026-10-18): interest is deducted upfront at release (Saka model); borrower repays principal only, in one lump sum, at the bonus month. Renewal is monthly until the target bonus arrives; failure to renew adds 1%/month penalty on the remaining balance. Amount must equal the borrower's own expected bonus (mid-year or year-end). Rate: 2%/month for regular/coop members, 3%/month for non-coop members.</t>
        </is>
      </c>
    </row>
  </sheetData>
  <mergeCells count="4">
    <mergeCell ref="A3:F3"/>
    <mergeCell ref="A2:F2"/>
    <mergeCell ref="A1:F1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2026-10-26T16:43:27Z</dcterms:created>
  <dcterms:modified xsi:type="dcterms:W3CDTF">2026-10-26T16:43:27Z</dcterms:modified>
</cp:coreProperties>
</file>