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TTMPC-Thesis\"/>
    </mc:Choice>
  </mc:AlternateContent>
  <xr:revisionPtr revIDLastSave="0" documentId="13_ncr:1_{720E4967-AC05-4154-873F-033217809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de" sheetId="1" r:id="rId1"/>
    <sheet name="Consolidated - New" sheetId="2" r:id="rId2"/>
    <sheet name="Consolidated - Renewal" sheetId="3" r:id="rId3"/>
    <sheet name="Emergency" sheetId="4" r:id="rId4"/>
    <sheet name="Bonus" sheetId="5" r:id="rId5"/>
    <sheet name="Penal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6" l="1"/>
  <c r="B12" i="6"/>
  <c r="B13" i="6" s="1"/>
  <c r="A37" i="5"/>
  <c r="A36" i="5"/>
  <c r="A35" i="5"/>
  <c r="A34" i="5"/>
  <c r="D34" i="5" s="1"/>
  <c r="A33" i="5"/>
  <c r="A32" i="5"/>
  <c r="A31" i="5"/>
  <c r="A30" i="5"/>
  <c r="A29" i="5"/>
  <c r="A28" i="5"/>
  <c r="A27" i="5"/>
  <c r="B22" i="5"/>
  <c r="B15" i="5"/>
  <c r="D15" i="5" s="1"/>
  <c r="B14" i="5"/>
  <c r="B18" i="5" s="1"/>
  <c r="A43" i="4"/>
  <c r="A42" i="4"/>
  <c r="A41" i="4"/>
  <c r="A40" i="4"/>
  <c r="A39" i="4"/>
  <c r="A38" i="4"/>
  <c r="A37" i="4"/>
  <c r="A36" i="4"/>
  <c r="A35" i="4"/>
  <c r="A34" i="4"/>
  <c r="A33" i="4"/>
  <c r="C32" i="4"/>
  <c r="B32" i="4"/>
  <c r="A32" i="4"/>
  <c r="B26" i="4"/>
  <c r="D26" i="4" s="1"/>
  <c r="B25" i="4"/>
  <c r="B14" i="4"/>
  <c r="D32" i="4" s="1"/>
  <c r="B11" i="4"/>
  <c r="A115" i="3"/>
  <c r="A114" i="3"/>
  <c r="A113" i="3"/>
  <c r="A112" i="3"/>
  <c r="A111" i="3"/>
  <c r="A110" i="3"/>
  <c r="A109" i="3"/>
  <c r="A108" i="3"/>
  <c r="A107" i="3"/>
  <c r="A106" i="3"/>
  <c r="H105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E79" i="3" s="1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B43" i="3"/>
  <c r="D43" i="3" s="1"/>
  <c r="B42" i="3"/>
  <c r="D42" i="3" s="1"/>
  <c r="B41" i="3"/>
  <c r="D41" i="3" s="1"/>
  <c r="B39" i="3"/>
  <c r="B35" i="3"/>
  <c r="B33" i="3"/>
  <c r="D33" i="3" s="1"/>
  <c r="B32" i="3"/>
  <c r="B17" i="3"/>
  <c r="B15" i="3"/>
  <c r="D15" i="3" s="1"/>
  <c r="B12" i="3"/>
  <c r="B11" i="3"/>
  <c r="A98" i="2"/>
  <c r="A97" i="2"/>
  <c r="A96" i="2"/>
  <c r="A95" i="2"/>
  <c r="A94" i="2"/>
  <c r="A93" i="2"/>
  <c r="A92" i="2"/>
  <c r="A91" i="2"/>
  <c r="A90" i="2"/>
  <c r="A89" i="2"/>
  <c r="H88" i="2"/>
  <c r="G88" i="2"/>
  <c r="F88" i="2"/>
  <c r="E88" i="2"/>
  <c r="A88" i="2"/>
  <c r="D88" i="2" s="1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B27" i="2"/>
  <c r="D27" i="2" s="1"/>
  <c r="B26" i="2"/>
  <c r="D26" i="2" s="1"/>
  <c r="B25" i="2"/>
  <c r="D25" i="2" s="1"/>
  <c r="B23" i="2"/>
  <c r="B19" i="2"/>
  <c r="B17" i="2"/>
  <c r="D17" i="2" s="1"/>
  <c r="B16" i="2"/>
  <c r="B66" i="3" l="1"/>
  <c r="E66" i="3"/>
  <c r="D66" i="3"/>
  <c r="F66" i="3" s="1"/>
  <c r="B75" i="2"/>
  <c r="H75" i="2"/>
  <c r="G75" i="2"/>
  <c r="F75" i="2"/>
  <c r="E75" i="2"/>
  <c r="D75" i="2"/>
  <c r="C75" i="2"/>
  <c r="B17" i="6"/>
  <c r="D17" i="6" s="1"/>
  <c r="H37" i="5"/>
  <c r="G37" i="5"/>
  <c r="E37" i="5"/>
  <c r="D37" i="5"/>
  <c r="C37" i="5"/>
  <c r="F37" i="5"/>
  <c r="B37" i="5"/>
  <c r="B36" i="5"/>
  <c r="H36" i="5"/>
  <c r="G36" i="5"/>
  <c r="F36" i="5"/>
  <c r="E36" i="5"/>
  <c r="D36" i="5"/>
  <c r="C36" i="5"/>
  <c r="H35" i="5"/>
  <c r="D35" i="5"/>
  <c r="G35" i="5"/>
  <c r="B35" i="5"/>
  <c r="C35" i="5"/>
  <c r="F35" i="5"/>
  <c r="E35" i="5"/>
  <c r="H34" i="5"/>
  <c r="F34" i="5"/>
  <c r="E34" i="5"/>
  <c r="C34" i="5"/>
  <c r="B34" i="5"/>
  <c r="G34" i="5"/>
  <c r="C33" i="5"/>
  <c r="B33" i="5"/>
  <c r="H33" i="5"/>
  <c r="G33" i="5"/>
  <c r="F33" i="5"/>
  <c r="E33" i="5"/>
  <c r="D33" i="5"/>
  <c r="B32" i="5"/>
  <c r="F32" i="5"/>
  <c r="E32" i="5"/>
  <c r="H32" i="5"/>
  <c r="C32" i="5"/>
  <c r="D32" i="5"/>
  <c r="G32" i="5"/>
  <c r="E31" i="5"/>
  <c r="D31" i="5"/>
  <c r="F31" i="5" s="1"/>
  <c r="B31" i="5"/>
  <c r="E30" i="5"/>
  <c r="B30" i="5"/>
  <c r="D30" i="5"/>
  <c r="F30" i="5" s="1"/>
  <c r="B29" i="5"/>
  <c r="D29" i="5"/>
  <c r="E29" i="5"/>
  <c r="D28" i="5"/>
  <c r="E28" i="5"/>
  <c r="F28" i="5"/>
  <c r="B28" i="5"/>
  <c r="D27" i="5"/>
  <c r="B27" i="5"/>
  <c r="C27" i="5"/>
  <c r="E27" i="5"/>
  <c r="B23" i="5"/>
  <c r="D23" i="5"/>
  <c r="B19" i="5"/>
  <c r="D19" i="5" s="1"/>
  <c r="D18" i="5"/>
  <c r="B16" i="5"/>
  <c r="D16" i="5"/>
  <c r="B43" i="4"/>
  <c r="D42" i="4"/>
  <c r="B42" i="4"/>
  <c r="B41" i="4"/>
  <c r="D41" i="4"/>
  <c r="B40" i="4"/>
  <c r="D40" i="4"/>
  <c r="D39" i="4"/>
  <c r="B39" i="4"/>
  <c r="D38" i="4"/>
  <c r="B38" i="4"/>
  <c r="B37" i="4"/>
  <c r="D37" i="4"/>
  <c r="B36" i="4"/>
  <c r="D36" i="4"/>
  <c r="B35" i="4"/>
  <c r="D35" i="4"/>
  <c r="D34" i="4"/>
  <c r="B34" i="4"/>
  <c r="B33" i="4"/>
  <c r="D33" i="4"/>
  <c r="H32" i="4"/>
  <c r="G32" i="4"/>
  <c r="B27" i="4"/>
  <c r="D27" i="4" s="1"/>
  <c r="B15" i="4"/>
  <c r="D15" i="4" s="1"/>
  <c r="D14" i="4"/>
  <c r="B18" i="4"/>
  <c r="D18" i="4" s="1"/>
  <c r="H115" i="3"/>
  <c r="G115" i="3"/>
  <c r="F115" i="3"/>
  <c r="E115" i="3"/>
  <c r="D115" i="3"/>
  <c r="C115" i="3"/>
  <c r="B115" i="3"/>
  <c r="C114" i="3"/>
  <c r="H114" i="3"/>
  <c r="G114" i="3"/>
  <c r="F114" i="3"/>
  <c r="E114" i="3"/>
  <c r="D114" i="3"/>
  <c r="B114" i="3"/>
  <c r="H113" i="3"/>
  <c r="G113" i="3"/>
  <c r="F113" i="3"/>
  <c r="B113" i="3"/>
  <c r="C113" i="3"/>
  <c r="E113" i="3"/>
  <c r="D113" i="3"/>
  <c r="D112" i="3"/>
  <c r="E112" i="3"/>
  <c r="F112" i="3"/>
  <c r="G112" i="3"/>
  <c r="H112" i="3"/>
  <c r="B112" i="3"/>
  <c r="C112" i="3"/>
  <c r="E111" i="3"/>
  <c r="C111" i="3"/>
  <c r="H111" i="3"/>
  <c r="G111" i="3"/>
  <c r="F111" i="3"/>
  <c r="D111" i="3"/>
  <c r="B111" i="3"/>
  <c r="D110" i="3"/>
  <c r="E110" i="3"/>
  <c r="G110" i="3"/>
  <c r="H110" i="3"/>
  <c r="B110" i="3"/>
  <c r="F110" i="3"/>
  <c r="C110" i="3"/>
  <c r="G109" i="3"/>
  <c r="B109" i="3"/>
  <c r="D109" i="3"/>
  <c r="E109" i="3"/>
  <c r="F109" i="3"/>
  <c r="C109" i="3"/>
  <c r="H109" i="3"/>
  <c r="F108" i="3"/>
  <c r="C108" i="3"/>
  <c r="H108" i="3"/>
  <c r="D108" i="3"/>
  <c r="E108" i="3"/>
  <c r="B108" i="3"/>
  <c r="G108" i="3"/>
  <c r="E107" i="3"/>
  <c r="H107" i="3"/>
  <c r="F107" i="3"/>
  <c r="C107" i="3"/>
  <c r="G107" i="3"/>
  <c r="D107" i="3"/>
  <c r="B107" i="3"/>
  <c r="G106" i="3"/>
  <c r="D106" i="3"/>
  <c r="C106" i="3"/>
  <c r="E106" i="3"/>
  <c r="F106" i="3"/>
  <c r="H106" i="3"/>
  <c r="B106" i="3"/>
  <c r="C105" i="3"/>
  <c r="G105" i="3"/>
  <c r="B105" i="3"/>
  <c r="F105" i="3"/>
  <c r="E105" i="3"/>
  <c r="D105" i="3"/>
  <c r="H104" i="3"/>
  <c r="B104" i="3"/>
  <c r="C104" i="3"/>
  <c r="G104" i="3"/>
  <c r="D104" i="3"/>
  <c r="E104" i="3"/>
  <c r="F104" i="3"/>
  <c r="B103" i="3"/>
  <c r="D103" i="3"/>
  <c r="E103" i="3"/>
  <c r="F103" i="3"/>
  <c r="B102" i="3"/>
  <c r="D102" i="3"/>
  <c r="E102" i="3"/>
  <c r="F102" i="3"/>
  <c r="D101" i="3"/>
  <c r="B101" i="3"/>
  <c r="E101" i="3"/>
  <c r="F101" i="3"/>
  <c r="B100" i="3"/>
  <c r="D100" i="3"/>
  <c r="E100" i="3"/>
  <c r="F100" i="3" s="1"/>
  <c r="E99" i="3"/>
  <c r="B99" i="3"/>
  <c r="D99" i="3"/>
  <c r="F99" i="3" s="1"/>
  <c r="E98" i="3"/>
  <c r="B98" i="3"/>
  <c r="D98" i="3"/>
  <c r="F98" i="3"/>
  <c r="D97" i="3"/>
  <c r="E97" i="3"/>
  <c r="F97" i="3" s="1"/>
  <c r="B97" i="3"/>
  <c r="B96" i="3"/>
  <c r="D96" i="3"/>
  <c r="E96" i="3"/>
  <c r="F96" i="3" s="1"/>
  <c r="B95" i="3"/>
  <c r="D95" i="3"/>
  <c r="E95" i="3"/>
  <c r="B94" i="3"/>
  <c r="D94" i="3"/>
  <c r="E94" i="3"/>
  <c r="F94" i="3" s="1"/>
  <c r="D93" i="3"/>
  <c r="E93" i="3"/>
  <c r="B93" i="3"/>
  <c r="E92" i="3"/>
  <c r="D92" i="3"/>
  <c r="F92" i="3" s="1"/>
  <c r="B92" i="3"/>
  <c r="E91" i="3"/>
  <c r="D91" i="3"/>
  <c r="F91" i="3" s="1"/>
  <c r="B91" i="3"/>
  <c r="E90" i="3"/>
  <c r="D90" i="3"/>
  <c r="F90" i="3" s="1"/>
  <c r="B90" i="3"/>
  <c r="B89" i="3"/>
  <c r="E89" i="3"/>
  <c r="D89" i="3"/>
  <c r="F89" i="3" s="1"/>
  <c r="D88" i="3"/>
  <c r="E88" i="3"/>
  <c r="F88" i="3" s="1"/>
  <c r="B88" i="3"/>
  <c r="B87" i="3"/>
  <c r="D87" i="3"/>
  <c r="E87" i="3"/>
  <c r="F87" i="3" s="1"/>
  <c r="B86" i="3"/>
  <c r="E86" i="3"/>
  <c r="D86" i="3"/>
  <c r="F86" i="3" s="1"/>
  <c r="E85" i="3"/>
  <c r="D85" i="3"/>
  <c r="B85" i="3"/>
  <c r="F85" i="3"/>
  <c r="B84" i="3"/>
  <c r="D84" i="3"/>
  <c r="F84" i="3" s="1"/>
  <c r="E84" i="3"/>
  <c r="B83" i="3"/>
  <c r="D83" i="3"/>
  <c r="E83" i="3"/>
  <c r="F83" i="3" s="1"/>
  <c r="D82" i="3"/>
  <c r="E82" i="3"/>
  <c r="B82" i="3"/>
  <c r="E81" i="3"/>
  <c r="D81" i="3"/>
  <c r="F81" i="3" s="1"/>
  <c r="B81" i="3"/>
  <c r="D80" i="3"/>
  <c r="E80" i="3"/>
  <c r="B80" i="3"/>
  <c r="B79" i="3"/>
  <c r="D79" i="3"/>
  <c r="F79" i="3" s="1"/>
  <c r="D78" i="3"/>
  <c r="E78" i="3"/>
  <c r="F78" i="3"/>
  <c r="B78" i="3"/>
  <c r="B77" i="3"/>
  <c r="D77" i="3"/>
  <c r="E77" i="3"/>
  <c r="F77" i="3"/>
  <c r="E76" i="3"/>
  <c r="D76" i="3"/>
  <c r="F76" i="3" s="1"/>
  <c r="B76" i="3"/>
  <c r="D75" i="3"/>
  <c r="E75" i="3"/>
  <c r="F75" i="3"/>
  <c r="B75" i="3"/>
  <c r="E74" i="3"/>
  <c r="D74" i="3"/>
  <c r="F74" i="3"/>
  <c r="B74" i="3"/>
  <c r="E73" i="3"/>
  <c r="D73" i="3"/>
  <c r="F73" i="3" s="1"/>
  <c r="B73" i="3"/>
  <c r="D72" i="3"/>
  <c r="E72" i="3"/>
  <c r="F72" i="3" s="1"/>
  <c r="B72" i="3"/>
  <c r="D71" i="3"/>
  <c r="E71" i="3"/>
  <c r="F71" i="3" s="1"/>
  <c r="B71" i="3"/>
  <c r="E70" i="3"/>
  <c r="D70" i="3"/>
  <c r="F70" i="3" s="1"/>
  <c r="B70" i="3"/>
  <c r="E69" i="3"/>
  <c r="D69" i="3"/>
  <c r="F69" i="3" s="1"/>
  <c r="B69" i="3"/>
  <c r="B68" i="3"/>
  <c r="D68" i="3"/>
  <c r="E68" i="3"/>
  <c r="F68" i="3"/>
  <c r="E67" i="3"/>
  <c r="D67" i="3"/>
  <c r="F67" i="3" s="1"/>
  <c r="B67" i="3"/>
  <c r="D65" i="3"/>
  <c r="B65" i="3"/>
  <c r="E65" i="3"/>
  <c r="D64" i="3"/>
  <c r="E64" i="3"/>
  <c r="B64" i="3"/>
  <c r="F64" i="3"/>
  <c r="D63" i="3"/>
  <c r="E63" i="3"/>
  <c r="F63" i="3" s="1"/>
  <c r="B63" i="3"/>
  <c r="D62" i="3"/>
  <c r="B62" i="3"/>
  <c r="E62" i="3"/>
  <c r="E61" i="3"/>
  <c r="D61" i="3"/>
  <c r="F61" i="3" s="1"/>
  <c r="B61" i="3"/>
  <c r="D60" i="3"/>
  <c r="B60" i="3"/>
  <c r="E60" i="3"/>
  <c r="F60" i="3" s="1"/>
  <c r="B59" i="3"/>
  <c r="D59" i="3"/>
  <c r="E59" i="3"/>
  <c r="E58" i="3"/>
  <c r="D58" i="3"/>
  <c r="F58" i="3" s="1"/>
  <c r="B58" i="3"/>
  <c r="E57" i="3"/>
  <c r="D57" i="3"/>
  <c r="F57" i="3" s="1"/>
  <c r="B57" i="3"/>
  <c r="E56" i="3"/>
  <c r="D56" i="3"/>
  <c r="F56" i="3" s="1"/>
  <c r="C56" i="3"/>
  <c r="B56" i="3"/>
  <c r="G56" i="3"/>
  <c r="C57" i="3" s="1"/>
  <c r="G57" i="3" s="1"/>
  <c r="C58" i="3" s="1"/>
  <c r="G58" i="3" s="1"/>
  <c r="C59" i="3" s="1"/>
  <c r="G59" i="3" s="1"/>
  <c r="C60" i="3" s="1"/>
  <c r="G60" i="3" s="1"/>
  <c r="C61" i="3" s="1"/>
  <c r="G61" i="3" s="1"/>
  <c r="C62" i="3" s="1"/>
  <c r="D39" i="3"/>
  <c r="B40" i="3"/>
  <c r="D40" i="3" s="1"/>
  <c r="D35" i="3"/>
  <c r="B36" i="3"/>
  <c r="D36" i="3"/>
  <c r="D32" i="3"/>
  <c r="B34" i="3"/>
  <c r="D34" i="3" s="1"/>
  <c r="D12" i="3"/>
  <c r="B13" i="3"/>
  <c r="D13" i="3"/>
  <c r="D11" i="3"/>
  <c r="H98" i="2"/>
  <c r="G98" i="2"/>
  <c r="F98" i="2"/>
  <c r="E98" i="2"/>
  <c r="D98" i="2"/>
  <c r="C98" i="2"/>
  <c r="B98" i="2"/>
  <c r="C97" i="2"/>
  <c r="B97" i="2"/>
  <c r="H97" i="2"/>
  <c r="G97" i="2"/>
  <c r="F97" i="2"/>
  <c r="E97" i="2"/>
  <c r="D97" i="2"/>
  <c r="G96" i="2"/>
  <c r="F96" i="2"/>
  <c r="E96" i="2"/>
  <c r="D96" i="2"/>
  <c r="C96" i="2"/>
  <c r="B96" i="2"/>
  <c r="H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B92" i="2"/>
  <c r="C92" i="2"/>
  <c r="D92" i="2"/>
  <c r="E92" i="2"/>
  <c r="H92" i="2"/>
  <c r="G92" i="2"/>
  <c r="F92" i="2"/>
  <c r="F91" i="2"/>
  <c r="G91" i="2"/>
  <c r="H91" i="2"/>
  <c r="E91" i="2"/>
  <c r="D91" i="2"/>
  <c r="B91" i="2"/>
  <c r="C91" i="2"/>
  <c r="B90" i="2"/>
  <c r="H90" i="2"/>
  <c r="G90" i="2"/>
  <c r="E90" i="2"/>
  <c r="D90" i="2"/>
  <c r="C90" i="2"/>
  <c r="F90" i="2"/>
  <c r="F89" i="2"/>
  <c r="D89" i="2"/>
  <c r="C89" i="2"/>
  <c r="B89" i="2"/>
  <c r="E89" i="2"/>
  <c r="H89" i="2"/>
  <c r="G89" i="2"/>
  <c r="C88" i="2"/>
  <c r="B88" i="2"/>
  <c r="H87" i="2"/>
  <c r="G87" i="2"/>
  <c r="F87" i="2"/>
  <c r="D87" i="2"/>
  <c r="C87" i="2"/>
  <c r="B87" i="2"/>
  <c r="E87" i="2"/>
  <c r="E86" i="2"/>
  <c r="F86" i="2"/>
  <c r="G86" i="2"/>
  <c r="H86" i="2"/>
  <c r="D86" i="2"/>
  <c r="C86" i="2"/>
  <c r="B86" i="2"/>
  <c r="B85" i="2"/>
  <c r="C85" i="2"/>
  <c r="D85" i="2"/>
  <c r="E85" i="2"/>
  <c r="H85" i="2"/>
  <c r="G85" i="2"/>
  <c r="F85" i="2"/>
  <c r="D84" i="2"/>
  <c r="B84" i="2"/>
  <c r="C84" i="2"/>
  <c r="E84" i="2"/>
  <c r="F84" i="2"/>
  <c r="G84" i="2"/>
  <c r="H84" i="2"/>
  <c r="E83" i="2"/>
  <c r="D83" i="2"/>
  <c r="C83" i="2"/>
  <c r="B83" i="2"/>
  <c r="H83" i="2"/>
  <c r="G83" i="2"/>
  <c r="F83" i="2"/>
  <c r="F82" i="2"/>
  <c r="E82" i="2"/>
  <c r="D82" i="2"/>
  <c r="C82" i="2"/>
  <c r="B82" i="2"/>
  <c r="H82" i="2"/>
  <c r="G82" i="2"/>
  <c r="D81" i="2"/>
  <c r="H81" i="2"/>
  <c r="G81" i="2"/>
  <c r="F81" i="2"/>
  <c r="E81" i="2"/>
  <c r="C81" i="2"/>
  <c r="B81" i="2"/>
  <c r="H80" i="2"/>
  <c r="G80" i="2"/>
  <c r="F80" i="2"/>
  <c r="E80" i="2"/>
  <c r="D80" i="2"/>
  <c r="C80" i="2"/>
  <c r="B80" i="2"/>
  <c r="E79" i="2"/>
  <c r="D79" i="2"/>
  <c r="C79" i="2"/>
  <c r="F79" i="2"/>
  <c r="H79" i="2"/>
  <c r="G79" i="2"/>
  <c r="B79" i="2"/>
  <c r="E78" i="2"/>
  <c r="D78" i="2"/>
  <c r="C78" i="2"/>
  <c r="B78" i="2"/>
  <c r="H78" i="2"/>
  <c r="G78" i="2"/>
  <c r="F78" i="2"/>
  <c r="H77" i="2"/>
  <c r="B77" i="2"/>
  <c r="C77" i="2"/>
  <c r="G77" i="2"/>
  <c r="D77" i="2"/>
  <c r="E77" i="2"/>
  <c r="F77" i="2"/>
  <c r="D76" i="2"/>
  <c r="B76" i="2"/>
  <c r="C76" i="2"/>
  <c r="E76" i="2"/>
  <c r="F76" i="2"/>
  <c r="G76" i="2"/>
  <c r="H76" i="2"/>
  <c r="B74" i="2"/>
  <c r="D74" i="2"/>
  <c r="F74" i="2" s="1"/>
  <c r="E74" i="2"/>
  <c r="E73" i="2"/>
  <c r="D73" i="2"/>
  <c r="F73" i="2" s="1"/>
  <c r="B73" i="2"/>
  <c r="E72" i="2"/>
  <c r="D72" i="2"/>
  <c r="F72" i="2" s="1"/>
  <c r="B72" i="2"/>
  <c r="E71" i="2"/>
  <c r="D71" i="2"/>
  <c r="F71" i="2" s="1"/>
  <c r="B71" i="2"/>
  <c r="E70" i="2"/>
  <c r="D70" i="2"/>
  <c r="F70" i="2" s="1"/>
  <c r="B70" i="2"/>
  <c r="B69" i="2"/>
  <c r="D69" i="2"/>
  <c r="E69" i="2"/>
  <c r="F69" i="2"/>
  <c r="B68" i="2"/>
  <c r="D68" i="2"/>
  <c r="E68" i="2"/>
  <c r="F68" i="2" s="1"/>
  <c r="D67" i="2"/>
  <c r="E67" i="2"/>
  <c r="B67" i="2"/>
  <c r="E66" i="2"/>
  <c r="D66" i="2"/>
  <c r="F66" i="2" s="1"/>
  <c r="B66" i="2"/>
  <c r="E65" i="2"/>
  <c r="D65" i="2"/>
  <c r="F65" i="2"/>
  <c r="B65" i="2"/>
  <c r="E64" i="2"/>
  <c r="D64" i="2"/>
  <c r="F64" i="2" s="1"/>
  <c r="B64" i="2"/>
  <c r="E63" i="2"/>
  <c r="D63" i="2"/>
  <c r="F63" i="2" s="1"/>
  <c r="B63" i="2"/>
  <c r="B62" i="2"/>
  <c r="D62" i="2"/>
  <c r="E62" i="2"/>
  <c r="D61" i="2"/>
  <c r="E61" i="2"/>
  <c r="B61" i="2"/>
  <c r="E60" i="2"/>
  <c r="D60" i="2"/>
  <c r="F60" i="2" s="1"/>
  <c r="B60" i="2"/>
  <c r="E59" i="2"/>
  <c r="B59" i="2"/>
  <c r="D59" i="2"/>
  <c r="F59" i="2" s="1"/>
  <c r="B58" i="2"/>
  <c r="E58" i="2"/>
  <c r="D58" i="2"/>
  <c r="F58" i="2"/>
  <c r="D57" i="2"/>
  <c r="B57" i="2"/>
  <c r="E57" i="2"/>
  <c r="F57" i="2" s="1"/>
  <c r="E56" i="2"/>
  <c r="D56" i="2"/>
  <c r="B56" i="2"/>
  <c r="F56" i="2"/>
  <c r="E55" i="2"/>
  <c r="D55" i="2"/>
  <c r="B55" i="2"/>
  <c r="D54" i="2"/>
  <c r="B54" i="2"/>
  <c r="E54" i="2"/>
  <c r="F54" i="2"/>
  <c r="B53" i="2"/>
  <c r="D53" i="2"/>
  <c r="E53" i="2"/>
  <c r="F53" i="2"/>
  <c r="E52" i="2"/>
  <c r="D52" i="2"/>
  <c r="F52" i="2" s="1"/>
  <c r="B52" i="2"/>
  <c r="E51" i="2"/>
  <c r="D51" i="2"/>
  <c r="B51" i="2"/>
  <c r="F51" i="2"/>
  <c r="E50" i="2"/>
  <c r="D50" i="2"/>
  <c r="F50" i="2" s="1"/>
  <c r="B50" i="2"/>
  <c r="B49" i="2"/>
  <c r="E49" i="2"/>
  <c r="D49" i="2"/>
  <c r="F49" i="2" s="1"/>
  <c r="B48" i="2"/>
  <c r="D48" i="2"/>
  <c r="E48" i="2"/>
  <c r="F48" i="2"/>
  <c r="B47" i="2"/>
  <c r="D47" i="2"/>
  <c r="E47" i="2"/>
  <c r="E46" i="2"/>
  <c r="D46" i="2"/>
  <c r="F46" i="2" s="1"/>
  <c r="B46" i="2"/>
  <c r="D45" i="2"/>
  <c r="B45" i="2"/>
  <c r="E45" i="2"/>
  <c r="F45" i="2"/>
  <c r="E44" i="2"/>
  <c r="D44" i="2"/>
  <c r="B44" i="2"/>
  <c r="F44" i="2"/>
  <c r="E43" i="2"/>
  <c r="D43" i="2"/>
  <c r="F43" i="2" s="1"/>
  <c r="B43" i="2"/>
  <c r="B42" i="2"/>
  <c r="D42" i="2"/>
  <c r="E42" i="2"/>
  <c r="F42" i="2"/>
  <c r="B41" i="2"/>
  <c r="E41" i="2"/>
  <c r="D41" i="2"/>
  <c r="F41" i="2" s="1"/>
  <c r="D40" i="2"/>
  <c r="B40" i="2"/>
  <c r="E40" i="2"/>
  <c r="F40" i="2" s="1"/>
  <c r="B39" i="2"/>
  <c r="C39" i="2"/>
  <c r="D39" i="2"/>
  <c r="G39" i="2"/>
  <c r="C40" i="2" s="1"/>
  <c r="G40" i="2" s="1"/>
  <c r="C41" i="2" s="1"/>
  <c r="G41" i="2" s="1"/>
  <c r="C42" i="2" s="1"/>
  <c r="G42" i="2" s="1"/>
  <c r="C43" i="2" s="1"/>
  <c r="G43" i="2" s="1"/>
  <c r="C44" i="2" s="1"/>
  <c r="G44" i="2" s="1"/>
  <c r="C45" i="2" s="1"/>
  <c r="G45" i="2" s="1"/>
  <c r="C46" i="2" s="1"/>
  <c r="G46" i="2" s="1"/>
  <c r="C47" i="2" s="1"/>
  <c r="G47" i="2" s="1"/>
  <c r="C48" i="2" s="1"/>
  <c r="G48" i="2" s="1"/>
  <c r="C49" i="2" s="1"/>
  <c r="G49" i="2" s="1"/>
  <c r="C50" i="2" s="1"/>
  <c r="G50" i="2" s="1"/>
  <c r="C51" i="2" s="1"/>
  <c r="G51" i="2" s="1"/>
  <c r="C52" i="2" s="1"/>
  <c r="G52" i="2" s="1"/>
  <c r="C53" i="2" s="1"/>
  <c r="G53" i="2" s="1"/>
  <c r="C54" i="2" s="1"/>
  <c r="G54" i="2" s="1"/>
  <c r="C55" i="2" s="1"/>
  <c r="G55" i="2" s="1"/>
  <c r="C56" i="2" s="1"/>
  <c r="G56" i="2" s="1"/>
  <c r="C57" i="2" s="1"/>
  <c r="G57" i="2" s="1"/>
  <c r="C58" i="2" s="1"/>
  <c r="G58" i="2" s="1"/>
  <c r="C59" i="2" s="1"/>
  <c r="G59" i="2" s="1"/>
  <c r="C60" i="2" s="1"/>
  <c r="G60" i="2" s="1"/>
  <c r="C61" i="2" s="1"/>
  <c r="G61" i="2" s="1"/>
  <c r="C62" i="2" s="1"/>
  <c r="G62" i="2" s="1"/>
  <c r="C63" i="2" s="1"/>
  <c r="G63" i="2" s="1"/>
  <c r="C64" i="2" s="1"/>
  <c r="G64" i="2" s="1"/>
  <c r="C65" i="2" s="1"/>
  <c r="G65" i="2" s="1"/>
  <c r="C66" i="2" s="1"/>
  <c r="G66" i="2" s="1"/>
  <c r="C67" i="2" s="1"/>
  <c r="G67" i="2" s="1"/>
  <c r="C68" i="2" s="1"/>
  <c r="G68" i="2" s="1"/>
  <c r="C69" i="2" s="1"/>
  <c r="G69" i="2" s="1"/>
  <c r="C70" i="2" s="1"/>
  <c r="G70" i="2" s="1"/>
  <c r="C71" i="2" s="1"/>
  <c r="G71" i="2" s="1"/>
  <c r="C72" i="2" s="1"/>
  <c r="G72" i="2" s="1"/>
  <c r="C73" i="2" s="1"/>
  <c r="G73" i="2" s="1"/>
  <c r="C74" i="2" s="1"/>
  <c r="G74" i="2" s="1"/>
  <c r="E39" i="2"/>
  <c r="B24" i="2"/>
  <c r="D23" i="2"/>
  <c r="D24" i="2"/>
  <c r="D19" i="2"/>
  <c r="B20" i="2"/>
  <c r="D20" i="2" s="1"/>
  <c r="D16" i="2"/>
  <c r="B18" i="2"/>
  <c r="D18" i="2" s="1"/>
  <c r="G27" i="5" l="1"/>
  <c r="C28" i="5" s="1"/>
  <c r="G28" i="5" s="1"/>
  <c r="C29" i="5" s="1"/>
  <c r="G29" i="5" s="1"/>
  <c r="C30" i="5" s="1"/>
  <c r="G30" i="5" s="1"/>
  <c r="C31" i="5" s="1"/>
  <c r="G31" i="5" s="1"/>
  <c r="E38" i="5"/>
  <c r="F82" i="3"/>
  <c r="F95" i="3"/>
  <c r="F93" i="3"/>
  <c r="F29" i="5"/>
  <c r="F80" i="3"/>
  <c r="F65" i="3"/>
  <c r="F62" i="3"/>
  <c r="F59" i="3"/>
  <c r="F116" i="3" s="1"/>
  <c r="G62" i="3"/>
  <c r="C63" i="3" s="1"/>
  <c r="G63" i="3" s="1"/>
  <c r="C64" i="3" s="1"/>
  <c r="G64" i="3" s="1"/>
  <c r="C65" i="3" s="1"/>
  <c r="G65" i="3" s="1"/>
  <c r="C66" i="3" s="1"/>
  <c r="G66" i="3" s="1"/>
  <c r="C67" i="3" s="1"/>
  <c r="G67" i="3" s="1"/>
  <c r="C68" i="3" s="1"/>
  <c r="G68" i="3" s="1"/>
  <c r="C69" i="3" s="1"/>
  <c r="G69" i="3" s="1"/>
  <c r="C70" i="3" s="1"/>
  <c r="G70" i="3" s="1"/>
  <c r="C71" i="3" s="1"/>
  <c r="G71" i="3" s="1"/>
  <c r="C72" i="3" s="1"/>
  <c r="G72" i="3" s="1"/>
  <c r="C73" i="3" s="1"/>
  <c r="G73" i="3" s="1"/>
  <c r="C74" i="3" s="1"/>
  <c r="G74" i="3" s="1"/>
  <c r="C75" i="3" s="1"/>
  <c r="G75" i="3" s="1"/>
  <c r="C76" i="3" s="1"/>
  <c r="G76" i="3" s="1"/>
  <c r="C77" i="3" s="1"/>
  <c r="G77" i="3" s="1"/>
  <c r="C78" i="3" s="1"/>
  <c r="G78" i="3" s="1"/>
  <c r="C79" i="3" s="1"/>
  <c r="G79" i="3" s="1"/>
  <c r="C80" i="3" s="1"/>
  <c r="G80" i="3" s="1"/>
  <c r="C81" i="3" s="1"/>
  <c r="G81" i="3" s="1"/>
  <c r="C82" i="3" s="1"/>
  <c r="G82" i="3" s="1"/>
  <c r="C83" i="3" s="1"/>
  <c r="G83" i="3" s="1"/>
  <c r="C84" i="3" s="1"/>
  <c r="G84" i="3" s="1"/>
  <c r="C85" i="3" s="1"/>
  <c r="G85" i="3" s="1"/>
  <c r="C86" i="3" s="1"/>
  <c r="G86" i="3" s="1"/>
  <c r="C87" i="3" s="1"/>
  <c r="G87" i="3" s="1"/>
  <c r="C88" i="3" s="1"/>
  <c r="G88" i="3" s="1"/>
  <c r="C89" i="3" s="1"/>
  <c r="G89" i="3" s="1"/>
  <c r="C90" i="3" s="1"/>
  <c r="G90" i="3" s="1"/>
  <c r="C91" i="3" s="1"/>
  <c r="G91" i="3" s="1"/>
  <c r="C92" i="3" s="1"/>
  <c r="G92" i="3" s="1"/>
  <c r="C93" i="3" s="1"/>
  <c r="G93" i="3" s="1"/>
  <c r="C94" i="3" s="1"/>
  <c r="G94" i="3" s="1"/>
  <c r="C95" i="3" s="1"/>
  <c r="G95" i="3" s="1"/>
  <c r="C96" i="3" s="1"/>
  <c r="G96" i="3" s="1"/>
  <c r="C97" i="3" s="1"/>
  <c r="G97" i="3" s="1"/>
  <c r="C98" i="3" s="1"/>
  <c r="G98" i="3" s="1"/>
  <c r="C99" i="3" s="1"/>
  <c r="G99" i="3" s="1"/>
  <c r="C100" i="3" s="1"/>
  <c r="G100" i="3" s="1"/>
  <c r="C101" i="3" s="1"/>
  <c r="G101" i="3" s="1"/>
  <c r="C102" i="3" s="1"/>
  <c r="G102" i="3" s="1"/>
  <c r="C103" i="3" s="1"/>
  <c r="G103" i="3" s="1"/>
  <c r="F62" i="2"/>
  <c r="F61" i="2"/>
  <c r="F67" i="2"/>
  <c r="F55" i="2"/>
  <c r="F47" i="2"/>
  <c r="F39" i="2"/>
  <c r="D38" i="5"/>
  <c r="F27" i="5"/>
  <c r="H27" i="5" s="1"/>
  <c r="H28" i="5" s="1"/>
  <c r="B17" i="5"/>
  <c r="D17" i="5"/>
  <c r="B28" i="4"/>
  <c r="D28" i="4"/>
  <c r="B19" i="4"/>
  <c r="D19" i="4"/>
  <c r="B44" i="3"/>
  <c r="D44" i="3"/>
  <c r="B28" i="2"/>
  <c r="D28" i="2"/>
  <c r="E116" i="3"/>
  <c r="D116" i="3"/>
  <c r="D99" i="2"/>
  <c r="E99" i="2"/>
  <c r="B34" i="2" s="1"/>
  <c r="F38" i="5"/>
  <c r="H29" i="5"/>
  <c r="H30" i="5" s="1"/>
  <c r="H31" i="5" s="1"/>
  <c r="E32" i="4"/>
  <c r="F32" i="4" s="1"/>
  <c r="C33" i="4"/>
  <c r="H56" i="3"/>
  <c r="H57" i="3" s="1"/>
  <c r="B14" i="3"/>
  <c r="D14" i="3"/>
  <c r="H39" i="2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F99" i="2"/>
  <c r="B32" i="2" s="1"/>
  <c r="H58" i="3"/>
  <c r="H59" i="3" l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B20" i="4"/>
  <c r="D20" i="4"/>
  <c r="B45" i="3"/>
  <c r="B48" i="3" s="1"/>
  <c r="D45" i="3"/>
  <c r="B29" i="2"/>
  <c r="D29" i="2"/>
  <c r="G33" i="4"/>
  <c r="H33" i="4"/>
  <c r="B49" i="3"/>
  <c r="D16" i="3"/>
  <c r="B16" i="3"/>
  <c r="B33" i="2"/>
  <c r="D33" i="2"/>
  <c r="B50" i="3" l="1"/>
  <c r="D50" i="3"/>
  <c r="B51" i="3"/>
  <c r="E33" i="4"/>
  <c r="C34" i="4"/>
  <c r="F33" i="4" l="1"/>
  <c r="H34" i="4"/>
  <c r="G34" i="4"/>
  <c r="C35" i="4" l="1"/>
  <c r="E34" i="4"/>
  <c r="H35" i="4" l="1"/>
  <c r="G35" i="4"/>
  <c r="F34" i="4"/>
  <c r="C36" i="4" l="1"/>
  <c r="E35" i="4"/>
  <c r="H36" i="4" l="1"/>
  <c r="G36" i="4"/>
  <c r="F35" i="4"/>
  <c r="E36" i="4" l="1"/>
  <c r="F36" i="4" s="1"/>
  <c r="C37" i="4"/>
  <c r="G37" i="4" l="1"/>
  <c r="H37" i="4"/>
  <c r="E37" i="4" l="1"/>
  <c r="F37" i="4" s="1"/>
  <c r="C38" i="4"/>
  <c r="G38" i="4" l="1"/>
  <c r="H38" i="4"/>
  <c r="E38" i="4" l="1"/>
  <c r="F38" i="4" s="1"/>
  <c r="C39" i="4"/>
  <c r="G39" i="4" l="1"/>
  <c r="H39" i="4"/>
  <c r="C40" i="4" l="1"/>
  <c r="E39" i="4"/>
  <c r="F39" i="4" s="1"/>
  <c r="H40" i="4" l="1"/>
  <c r="G40" i="4"/>
  <c r="C41" i="4" l="1"/>
  <c r="E40" i="4"/>
  <c r="F40" i="4" s="1"/>
  <c r="G41" i="4" l="1"/>
  <c r="H41" i="4"/>
  <c r="E41" i="4" l="1"/>
  <c r="F41" i="4" s="1"/>
  <c r="C42" i="4"/>
  <c r="H42" i="4" l="1"/>
  <c r="G42" i="4"/>
  <c r="E42" i="4" l="1"/>
  <c r="F42" i="4" s="1"/>
  <c r="C43" i="4"/>
  <c r="D43" i="4" l="1"/>
  <c r="G43" i="4" s="1"/>
  <c r="E43" i="4" s="1"/>
  <c r="E44" i="4" s="1"/>
  <c r="B21" i="4" s="1"/>
  <c r="H43" i="4"/>
  <c r="H44" i="4" s="1"/>
  <c r="F43" i="4" l="1"/>
  <c r="F44" i="4" s="1"/>
  <c r="D44" i="4"/>
  <c r="D45" i="4" s="1"/>
  <c r="B22" i="4"/>
  <c r="D22" i="4"/>
  <c r="H4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TTMPC</author>
  </authors>
  <commentList>
    <comment ref="B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loan_types.interest_rate = 0.83 (percent) for CONSOLIDATED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TTMPC</author>
  </authors>
  <commentList>
    <comment ref="B1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The system sums the validated loan_payments rows. Here we assume each payment was the exact amortization.</t>
        </r>
      </text>
    </comment>
    <comment ref="B2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loan_types.interest_rate = 0.83 (percent) for CONSOLIDATED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TTMPC</author>
  </authors>
  <commentList>
    <comment ref="B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loan_types.interest_rate = 2 for EMERGENCY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TTMPC</author>
  </authors>
  <commentList>
    <comment ref="B19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Equal to a single payment of P × (1 + r × n) on the bonus month</t>
        </r>
      </text>
    </comment>
  </commentList>
</comments>
</file>

<file path=xl/sharedStrings.xml><?xml version="1.0" encoding="utf-8"?>
<sst xmlns="http://schemas.openxmlformats.org/spreadsheetml/2006/main" count="362" uniqueCount="246">
  <si>
    <t>TTMPC Loan Computations: Manual Walkthrough</t>
  </si>
  <si>
    <t>Mirrors the REGANT system's loan computation (/api/loans/compute in src/server/main.py). Rates and fees are the values in Supabase as of Oct 6, 2026.</t>
  </si>
  <si>
    <t>HOW TO USE</t>
  </si>
  <si>
    <t>1</t>
  </si>
  <si>
    <t>Open a loan sheet. Yellow cells with blue text are INPUTS. Change them and every result and schedule updates.</t>
  </si>
  <si>
    <t>2</t>
  </si>
  <si>
    <t>Column C explains each formula in words. Column D repeats it with the actual numbers, so you can redo it on a calculator.</t>
  </si>
  <si>
    <t>3</t>
  </si>
  <si>
    <t>Peso amounts are rounded to 2 decimals at the same steps as the system (Python money() = ROUND half-up to centavos).</t>
  </si>
  <si>
    <t>4</t>
  </si>
  <si>
    <t>Each schedule ends with a TOTAL row and a check against the summary, so you can show that the numbers reconcile.</t>
  </si>
  <si>
    <t>COLOR LEGEND</t>
  </si>
  <si>
    <t>Yellow fill + blue text</t>
  </si>
  <si>
    <t>Input. Safe to edit.</t>
  </si>
  <si>
    <t>Black text</t>
  </si>
  <si>
    <t>Formula. Do not type over it.</t>
  </si>
  <si>
    <t>Light-orange fill</t>
  </si>
  <si>
    <t>Key result (the number the system shows the member or the cashier).</t>
  </si>
  <si>
    <t>SHEETS</t>
  </si>
  <si>
    <t>Consolidated - New</t>
  </si>
  <si>
    <t>New Consolidated loan: ₱250,000 for 36 months. Add-on interest at 0.83%/month, plus release deductions.</t>
  </si>
  <si>
    <t>Consolidated - Renewal</t>
  </si>
  <si>
    <t>Renewal: a new ₱300,000 loan for 48 months pays off an old ₱150,000 / 24-month loan after 8 payments. The old balance is deducted at release.</t>
  </si>
  <si>
    <t>Emergency</t>
  </si>
  <si>
    <t>Emergency loan: ₱20,000 for 12 months. Equal principal plus 2% diminishing interest.</t>
  </si>
  <si>
    <t>Bonus</t>
  </si>
  <si>
    <t>Bonus loan: ₱30,000 to May (5 months), regular member, 2%/month add-on.</t>
  </si>
  <si>
    <t>Penalty</t>
  </si>
  <si>
    <t>Overdue penalty: 2%/month (1% for Bonus) on the remaining balance after a 3-month grace period.</t>
  </si>
  <si>
    <t>FORMULA SUMMARY</t>
  </si>
  <si>
    <t>Consolidated / Bonus amortization</t>
  </si>
  <si>
    <t>Monthly = ROUND(P ÷ n, 2) + ROUND(P × r, 2)   (add-on: interest is always on the ORIGINAL principal)</t>
  </si>
  <si>
    <t>Consolidated / Bonus total interest</t>
  </si>
  <si>
    <t>P × r × n</t>
  </si>
  <si>
    <t>Emergency principal</t>
  </si>
  <si>
    <t>Months 1 to n-1: P ÷ n, truncated to the centavo. Last month: whatever balance is left, so the balance ends at exactly 0.</t>
  </si>
  <si>
    <t>Emergency interest</t>
  </si>
  <si>
    <t>ROUND(balance AFTER this month's principal payment × 2%, 2)</t>
  </si>
  <si>
    <t>Service fee (Consolidated)</t>
  </si>
  <si>
    <t>₱100 per ₱50,000 bracket or part of one: (INT((P-1) ÷ 50,000) + 1) × 100</t>
  </si>
  <si>
    <t>Service fee (Emergency / Bonus)</t>
  </si>
  <si>
    <t>₱100 flat (Emergency is capped at ₱20k, so it is always 1 bracket)</t>
  </si>
  <si>
    <t>Capital Build-Up (CBU)</t>
  </si>
  <si>
    <t>2% × P   (Consolidated and Emergency. Bonus has none.) Credited to the member's share capital.</t>
  </si>
  <si>
    <t>CLIMBS insurance (Consolidated)</t>
  </si>
  <si>
    <t>P × 1.35 ÷ 1,000</t>
  </si>
  <si>
    <t>Notarial fee (Consolidated)</t>
  </si>
  <si>
    <t>₱100 flat</t>
  </si>
  <si>
    <t>Net proceeds</t>
  </si>
  <si>
    <t>P - (service fee + CBU + insurance + notarial)</t>
  </si>
  <si>
    <t>Renewal net cash released</t>
  </si>
  <si>
    <t>Net proceeds - old loan's outstanding balance, where outstanding = (old principal + old total interest) - validated payments</t>
  </si>
  <si>
    <t>remaining balance × rate × months past grace   (grace ends 3 months after the earliest unpaid due date; legacy loans are exempt)</t>
  </si>
  <si>
    <t>SOURCE IN CODE</t>
  </si>
  <si>
    <t>Loan compute endpoint</t>
  </si>
  <si>
    <t>TTMPC_THESIS/src/server/main.py: compute_loan() (POST /api/loans/compute)</t>
  </si>
  <si>
    <t>Fee policy</t>
  </si>
  <si>
    <t>main.py: resolve_fee_policy(), compute_service_fee(). Table loan_fee_policies (BOD-editable).</t>
  </si>
  <si>
    <t>Interest rates</t>
  </si>
  <si>
    <t>Table loan_types.interest_rate (percent per month)</t>
  </si>
  <si>
    <t>Renewal payoff</t>
  </si>
  <si>
    <t>main.py: _compute_net_cash_out(), _outstanding_balances(), _loan_total_payable()</t>
  </si>
  <si>
    <t>main.py: compute_loan_penalty()</t>
  </si>
  <si>
    <t>Client fallback (same math)</t>
  </si>
  <si>
    <t>TTMPC_THESIS/src/LOANFORMS/loanComputeApi.js: computeLoanLocally()</t>
  </si>
  <si>
    <t>CHECK BEFORE THE DEFENSE</t>
  </si>
  <si>
    <t>1. CLIMBS insurance</t>
  </si>
  <si>
    <t>The system charges P × 1.35 ÷ 1,000 (₱337.50 on ₱250k). The printed policy reads P × 1.35 × 12 ÷ 1,000 (₱4,050 on ₱250k). Confirm which one TTMPC actually uses.</t>
  </si>
  <si>
    <t>2. Non-member Bonus rate</t>
  </si>
  <si>
    <t>The policy says 3%/month for non-coop members, but loan_types has NONMEMBER_BONUS at 2%. The Bonus sheet lets you test both.</t>
  </si>
  <si>
    <t>3. Emergency interest timing</t>
  </si>
  <si>
    <t>The system charges interest on the balance AFTER each month's principal payment, so the last month has ₱0 interest. 'Applied upon release' could also mean interest on the BEGINNING balance. The Emergency sheet shows both.</t>
  </si>
  <si>
    <t>4. Add-on centavo rounding</t>
  </si>
  <si>
    <t>36 × ₱9,019.44 = ₱324,699.84, but the total payable is ₱324,700.00. The ₱0.16 left over comes from rounding P ÷ n. The check rows show it.</t>
  </si>
  <si>
    <t>5. Renewal payoff includes interest</t>
  </si>
  <si>
    <t>The old loan's payoff is (principal + ALL scheduled interest) - payments. Unearned future interest is not rebated. This is consistent with add-on interest, but be ready to explain it.</t>
  </si>
  <si>
    <t>6. Bonus repayment</t>
  </si>
  <si>
    <t>The printed policy says a single payment in May or November. The system spreads it as equal monthly amortizations over 5 or 11 months. The total interest is the same: P × r × n.</t>
  </si>
  <si>
    <t>Consolidated Loan: New Application</t>
  </si>
  <si>
    <t>Add-on interest. Same math as compute_loan() for loan_type='consolidated' in main.py.</t>
  </si>
  <si>
    <t>Item</t>
  </si>
  <si>
    <t>Value</t>
  </si>
  <si>
    <t>Formula (in words)</t>
  </si>
  <si>
    <t>Solved by hand</t>
  </si>
  <si>
    <t>Loan amount (P)</t>
  </si>
  <si>
    <t>Amount approved</t>
  </si>
  <si>
    <t>Term (n, months)</t>
  </si>
  <si>
    <t>Allowed: 12, 24, 36, 48, 60</t>
  </si>
  <si>
    <t>Monthly interest rate (r)</t>
  </si>
  <si>
    <t>Add-on, per month</t>
  </si>
  <si>
    <t>Service fee per bracket</t>
  </si>
  <si>
    <t>loan_fee_policies.service_fee_per_bracket</t>
  </si>
  <si>
    <t>Bracket size</t>
  </si>
  <si>
    <t>loan_fee_policies.service_fee_bracket_size</t>
  </si>
  <si>
    <t>CBU rate</t>
  </si>
  <si>
    <t>loan_fee_policies.cbu_rate</t>
  </si>
  <si>
    <t>Insurance per ₱1,000</t>
  </si>
  <si>
    <t>loan_fee_policies.insurance_per_thousand (CLIMBS)</t>
  </si>
  <si>
    <t>Notarial fee</t>
  </si>
  <si>
    <t>loan_fee_policies.notarial_fee</t>
  </si>
  <si>
    <t>First due date</t>
  </si>
  <si>
    <t>25th of the month after release</t>
  </si>
  <si>
    <t>STEP 1: Monthly amortization (add-on interest)</t>
  </si>
  <si>
    <t>Monthly principal</t>
  </si>
  <si>
    <t>P ÷ n, rounded to centavos</t>
  </si>
  <si>
    <t>Monthly interest</t>
  </si>
  <si>
    <t>P × r (always on the ORIGINAL principal)</t>
  </si>
  <si>
    <t>MONTHLY AMORTIZATION</t>
  </si>
  <si>
    <t>Monthly principal + monthly interest</t>
  </si>
  <si>
    <t>Total interest</t>
  </si>
  <si>
    <t>Total payable</t>
  </si>
  <si>
    <t>P + total interest</t>
  </si>
  <si>
    <t>STEP 2: Deductions on release</t>
  </si>
  <si>
    <t>Service fee brackets</t>
  </si>
  <si>
    <t>Number of ₱50,000 brackets, counting a partial bracket as a full one</t>
  </si>
  <si>
    <t>Service fee</t>
  </si>
  <si>
    <t>brackets × ₱100</t>
  </si>
  <si>
    <t>P × 2% (credited to share capital)</t>
  </si>
  <si>
    <t>CLIMBS insurance</t>
  </si>
  <si>
    <t>P × 1.35 ÷ 1,000 (see Guide, check #1)</t>
  </si>
  <si>
    <t>Flat</t>
  </si>
  <si>
    <t>Total deductions</t>
  </si>
  <si>
    <t>Service + CBU + insurance + notarial</t>
  </si>
  <si>
    <t>NET PROCEEDS</t>
  </si>
  <si>
    <t>P - total deductions</t>
  </si>
  <si>
    <t>STEP 3: Reconciliation checks</t>
  </si>
  <si>
    <t>Sum of all amortizations</t>
  </si>
  <si>
    <t>TOTAL of the schedule below</t>
  </si>
  <si>
    <t>Rounding difference</t>
  </si>
  <si>
    <t>Total payable - sum of payments (see Guide, check #4)</t>
  </si>
  <si>
    <t>Sum of interest parts = total interest?</t>
  </si>
  <si>
    <t>Should say YES</t>
  </si>
  <si>
    <t>AMORTIZATION SCHEDULE (rows past the term stay blank)</t>
  </si>
  <si>
    <t>No.</t>
  </si>
  <si>
    <t>Due date</t>
  </si>
  <si>
    <t>Beginning principal</t>
  </si>
  <si>
    <t>Principal part</t>
  </si>
  <si>
    <t>Interest part</t>
  </si>
  <si>
    <t>Monthly amortization</t>
  </si>
  <si>
    <t>Ending principal</t>
  </si>
  <si>
    <t>Cumulative paid</t>
  </si>
  <si>
    <t>TOTAL</t>
  </si>
  <si>
    <t>Consolidated Loan: Renewal</t>
  </si>
  <si>
    <t>The new loan pays off the old one. The old loan's outstanding balance is deducted at release (_compute_net_cash_out in main.py).</t>
  </si>
  <si>
    <t>Old loan being renewed</t>
  </si>
  <si>
    <t>Old loan amount</t>
  </si>
  <si>
    <t>Principal of the existing Consolidated loan</t>
  </si>
  <si>
    <t>Old term (months)</t>
  </si>
  <si>
    <t>Old monthly rate</t>
  </si>
  <si>
    <t>Payments made (count)</t>
  </si>
  <si>
    <t>Validated monthly payments recorded so far</t>
  </si>
  <si>
    <t>STEP A: Old loan outstanding balance</t>
  </si>
  <si>
    <t>Old monthly amortization</t>
  </si>
  <si>
    <t>P ÷ n + P × r</t>
  </si>
  <si>
    <t>Old total payable</t>
  </si>
  <si>
    <t>P + P × r × n</t>
  </si>
  <si>
    <t>Total paid so far</t>
  </si>
  <si>
    <t>Monthly amortization × payments made</t>
  </si>
  <si>
    <t>OUTSTANDING BALANCE (payoff)</t>
  </si>
  <si>
    <t>Old total payable - total paid</t>
  </si>
  <si>
    <t xml:space="preserve">  of which: unpaid principal</t>
  </si>
  <si>
    <t>P - monthly principal × payments</t>
  </si>
  <si>
    <t xml:space="preserve">  of which: remaining scheduled interest</t>
  </si>
  <si>
    <t>Unearned add-on interest is still collected (Guide, check #5)</t>
  </si>
  <si>
    <t>6-payment renewal rule</t>
  </si>
  <si>
    <t>RENEWAL_MIN_PAYMENTS = 6</t>
  </si>
  <si>
    <t>NEW LOAN</t>
  </si>
  <si>
    <t>NEW LOAN, STEP 1: Monthly amortization (add-on interest)</t>
  </si>
  <si>
    <t>NEW LOAN, STEP 2: Deductions on release</t>
  </si>
  <si>
    <t>STEP 3: Cash actually released to the member</t>
  </si>
  <si>
    <t>Net proceeds (from Step 2)</t>
  </si>
  <si>
    <t>Less: old loan payoff</t>
  </si>
  <si>
    <t>NET CASH RELEASED</t>
  </si>
  <si>
    <t>Net proceeds - old outstanding balance</t>
  </si>
  <si>
    <t>Renewal allowed?</t>
  </si>
  <si>
    <t>Policy: renewal is allowed only if there are net proceeds</t>
  </si>
  <si>
    <t>NEW LOAN AMORTIZATION SCHEDULE</t>
  </si>
  <si>
    <t>Emergency Loan</t>
  </si>
  <si>
    <t>Equal principal + 2% diminishing interest on the balance after each month's principal payment (compute_loan, loan_type='emergency').</t>
  </si>
  <si>
    <t>Maximum ₱20,000</t>
  </si>
  <si>
    <t>6 or 12 only</t>
  </si>
  <si>
    <t>Diminishing</t>
  </si>
  <si>
    <t>₱100 per ₱50k bracket, so always ₱100 under the ₱20k cap</t>
  </si>
  <si>
    <t>Input check</t>
  </si>
  <si>
    <t>STEP 1: Principal per month</t>
  </si>
  <si>
    <t>Monthly principal (months 1 to n-1)</t>
  </si>
  <si>
    <t>P ÷ n, TRUNCATED to the centavo (the system works in whole centavos)</t>
  </si>
  <si>
    <t>Last month's principal</t>
  </si>
  <si>
    <t>P - monthly principal × (n-1), so the balance ends at exactly ₱0</t>
  </si>
  <si>
    <t>STEP 2: Interest each month (worked example for month 1)</t>
  </si>
  <si>
    <t>Balance after month-1 principal</t>
  </si>
  <si>
    <t>P - monthly principal</t>
  </si>
  <si>
    <t>Month-1 interest</t>
  </si>
  <si>
    <t>Ending balance × r</t>
  </si>
  <si>
    <t>FIRST MONTHLY AMORTIZATION</t>
  </si>
  <si>
    <t>This is the 'monthly amortization' the system shows</t>
  </si>
  <si>
    <t>Sum of the interest column below</t>
  </si>
  <si>
    <t>STEP 3: Deductions on release</t>
  </si>
  <si>
    <t>P × 2%</t>
  </si>
  <si>
    <t>AMORTIZATION SCHEDULE (column H is an alternative reading for comparison only. The system does NOT use it.)</t>
  </si>
  <si>
    <t>Beginning balance</t>
  </si>
  <si>
    <t>Interest part (on ending bal.)</t>
  </si>
  <si>
    <t>Ending balance</t>
  </si>
  <si>
    <t>ALT: interest on beginning bal.</t>
  </si>
  <si>
    <t>Check: principal parts add up to P?</t>
  </si>
  <si>
    <t>Difference if interest were on the beginning balance</t>
  </si>
  <si>
    <t>Bonus Loan</t>
  </si>
  <si>
    <t>Add-on interest over 5 months (May mid-year bonus) or 11 months (November year-end bonus). compute_loan, loan_type='bonus'.</t>
  </si>
  <si>
    <t>Must not exceed the expected bonus</t>
  </si>
  <si>
    <t>5 = May mid-year bonus, 11 = November year-end bonus</t>
  </si>
  <si>
    <t>Member category</t>
  </si>
  <si>
    <t>Regular</t>
  </si>
  <si>
    <t>Type Regular or Non-member</t>
  </si>
  <si>
    <t>Rate: regular member (BONUS)</t>
  </si>
  <si>
    <t>loan_types BONUS = 2</t>
  </si>
  <si>
    <t>Rate: non-member (NONMEMBER_BONUS)</t>
  </si>
  <si>
    <t>loan_types NONMEMBER_BONUS = 2 in the DB, but the policy says 3% (Guide, check #2)</t>
  </si>
  <si>
    <t>Flat ₱100. No CBU, insurance, or notarial fee.</t>
  </si>
  <si>
    <t>STEP 1: Rate and monthly amortization (add-on)</t>
  </si>
  <si>
    <t>Rate applied (r)</t>
  </si>
  <si>
    <t>Regular → BONUS rate, anything else → NONMEMBER_BONUS rate</t>
  </si>
  <si>
    <t>P ÷ n</t>
  </si>
  <si>
    <t>P × r</t>
  </si>
  <si>
    <t>AMORTIZATION SCHEDULE</t>
  </si>
  <si>
    <t>Overdue Penalty</t>
  </si>
  <si>
    <t>compute_loan_penalty() in main.py. The penalty is computed for display and collection only. Legacy (migrated) loans are exempt.</t>
  </si>
  <si>
    <t>Loan type</t>
  </si>
  <si>
    <t>Consolidated</t>
  </si>
  <si>
    <t>Consolidated, Emergency, or Bonus</t>
  </si>
  <si>
    <t>Remaining balance</t>
  </si>
  <si>
    <t>Total payable - validated payments</t>
  </si>
  <si>
    <t>Earliest unpaid due date</t>
  </si>
  <si>
    <t>As-of date</t>
  </si>
  <si>
    <t>Legacy loan?</t>
  </si>
  <si>
    <t>No</t>
  </si>
  <si>
    <t>Yes = migrated loan, so no penalty</t>
  </si>
  <si>
    <t>STEP 1: Grace period and months overdue</t>
  </si>
  <si>
    <t>Grace ends</t>
  </si>
  <si>
    <t>Earliest unpaid due date + 3 months</t>
  </si>
  <si>
    <t>Months overdue</t>
  </si>
  <si>
    <t>0 within grace. Otherwise whole months since grace ended, counting the partial month, with a minimum of 1.</t>
  </si>
  <si>
    <t>Penalty rate</t>
  </si>
  <si>
    <t>1% Bonus, 2% all others</t>
  </si>
  <si>
    <t>STEP 2: Penalty</t>
  </si>
  <si>
    <t>PENALTY</t>
  </si>
  <si>
    <t>Remaining balance × rate × months 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</si>
</sst>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.00;\(&quot;₱&quot;#,##0.00\);&quot;-&quot;"/>
    <numFmt numFmtId="166" formatCode="mmm\ d\,\ yyyy"/>
  </numFmts>
  <fonts count="11" x14ac:knownFonts="1">
    <font>
      <sz val="11"/>
      <color theme="1"/>
      <name val="Calibri"/>
      <family val="2"/>
      <scheme val="minor"/>
    </font>
    <font>
      <b/>
      <sz val="14"/>
      <color rgb="FF1F4E3D"/>
      <name val="Arial"/>
    </font>
    <font>
      <i/>
      <sz val="9"/>
      <color rgb="FF555555"/>
      <name val="Arial"/>
    </font>
    <font>
      <b/>
      <sz val="11"/>
      <color rgb="FF1F4E3D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C00000"/>
      <name val="Arial"/>
    </font>
    <font>
      <b/>
      <sz val="10"/>
      <color rgb="FFFFFFFF"/>
      <name val="Arial"/>
    </font>
    <font>
      <sz val="10"/>
      <color rgb="FF1F4E3D"/>
      <name val="Arial"/>
    </font>
    <font>
      <i/>
      <sz val="10"/>
      <color rgb="FF7F7F7F"/>
      <name val="Arial"/>
    </font>
  </fonts>
  <fills count="6">
    <fill>
      <patternFill patternType="none"/>
    </fill>
    <fill>
      <patternFill patternType="gray125"/>
    </fill>
    <fill>
      <patternFill patternType="solid">
        <fgColor rgb="FFE9F7DE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3" borderId="0" xfId="0" applyFont="1" applyFill="1"/>
    <xf numFmtId="0" fontId="4" fillId="4" borderId="0" xfId="0" applyFont="1" applyFill="1"/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/>
    <xf numFmtId="1" fontId="6" fillId="3" borderId="1" xfId="0" applyNumberFormat="1" applyFont="1" applyFill="1" applyBorder="1"/>
    <xf numFmtId="10" fontId="6" fillId="3" borderId="1" xfId="0" applyNumberFormat="1" applyFont="1" applyFill="1" applyBorder="1"/>
    <xf numFmtId="2" fontId="6" fillId="3" borderId="1" xfId="0" applyNumberFormat="1" applyFont="1" applyFill="1" applyBorder="1"/>
    <xf numFmtId="166" fontId="6" fillId="3" borderId="1" xfId="0" applyNumberFormat="1" applyFont="1" applyFill="1" applyBorder="1"/>
    <xf numFmtId="164" fontId="5" fillId="0" borderId="1" xfId="0" applyNumberFormat="1" applyFont="1" applyBorder="1"/>
    <xf numFmtId="0" fontId="9" fillId="0" borderId="0" xfId="0" applyFont="1" applyAlignment="1">
      <alignment vertical="top" wrapText="1"/>
    </xf>
    <xf numFmtId="164" fontId="4" fillId="4" borderId="1" xfId="0" applyNumberFormat="1" applyFont="1" applyFill="1" applyBorder="1"/>
    <xf numFmtId="1" fontId="5" fillId="0" borderId="1" xfId="0" applyNumberFormat="1" applyFont="1" applyBorder="1"/>
    <xf numFmtId="49" fontId="5" fillId="0" borderId="1" xfId="0" applyNumberFormat="1" applyFont="1" applyBorder="1"/>
    <xf numFmtId="0" fontId="3" fillId="0" borderId="0" xfId="0" applyFont="1"/>
    <xf numFmtId="0" fontId="5" fillId="0" borderId="1" xfId="0" applyFont="1" applyBorder="1"/>
    <xf numFmtId="166" fontId="5" fillId="0" borderId="1" xfId="0" applyNumberFormat="1" applyFont="1" applyBorder="1"/>
    <xf numFmtId="164" fontId="10" fillId="0" borderId="1" xfId="0" applyNumberFormat="1" applyFont="1" applyBorder="1"/>
    <xf numFmtId="164" fontId="4" fillId="0" borderId="0" xfId="0" applyNumberFormat="1" applyFont="1"/>
    <xf numFmtId="49" fontId="6" fillId="3" borderId="1" xfId="0" applyNumberFormat="1" applyFont="1" applyFill="1" applyBorder="1"/>
    <xf numFmtId="10" fontId="5" fillId="0" borderId="1" xfId="0" applyNumberFormat="1" applyFont="1" applyBorder="1"/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showGridLines="0" tabSelected="1" workbookViewId="0"/>
  </sheetViews>
  <sheetFormatPr defaultRowHeight="14.4" x14ac:dyDescent="0.3"/>
  <cols>
    <col min="1" max="1" width="30" customWidth="1"/>
    <col min="2" max="3" width="62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4"/>
      <c r="C4" s="4"/>
    </row>
    <row r="5" spans="1:3" ht="26.4" x14ac:dyDescent="0.3">
      <c r="A5" s="5" t="s">
        <v>3</v>
      </c>
      <c r="B5" s="6" t="s">
        <v>4</v>
      </c>
    </row>
    <row r="6" spans="1:3" ht="26.4" x14ac:dyDescent="0.3">
      <c r="A6" s="5" t="s">
        <v>5</v>
      </c>
      <c r="B6" s="6" t="s">
        <v>6</v>
      </c>
    </row>
    <row r="7" spans="1:3" ht="26.4" x14ac:dyDescent="0.3">
      <c r="A7" s="5" t="s">
        <v>7</v>
      </c>
      <c r="B7" s="6" t="s">
        <v>8</v>
      </c>
    </row>
    <row r="8" spans="1:3" ht="26.4" x14ac:dyDescent="0.3">
      <c r="A8" s="5" t="s">
        <v>9</v>
      </c>
      <c r="B8" s="6" t="s">
        <v>10</v>
      </c>
    </row>
    <row r="9" spans="1:3" x14ac:dyDescent="0.3">
      <c r="A9" s="7"/>
      <c r="B9" s="6"/>
    </row>
    <row r="10" spans="1:3" x14ac:dyDescent="0.3">
      <c r="A10" s="3" t="s">
        <v>11</v>
      </c>
      <c r="B10" s="4"/>
      <c r="C10" s="4"/>
    </row>
    <row r="11" spans="1:3" x14ac:dyDescent="0.3">
      <c r="A11" s="8" t="s">
        <v>12</v>
      </c>
      <c r="B11" s="6" t="s">
        <v>13</v>
      </c>
    </row>
    <row r="12" spans="1:3" x14ac:dyDescent="0.3">
      <c r="A12" s="5" t="s">
        <v>14</v>
      </c>
      <c r="B12" s="6" t="s">
        <v>15</v>
      </c>
    </row>
    <row r="13" spans="1:3" x14ac:dyDescent="0.3">
      <c r="A13" s="9" t="s">
        <v>16</v>
      </c>
      <c r="B13" s="6" t="s">
        <v>17</v>
      </c>
    </row>
    <row r="14" spans="1:3" x14ac:dyDescent="0.3">
      <c r="A14" s="7"/>
      <c r="B14" s="6"/>
    </row>
    <row r="15" spans="1:3" x14ac:dyDescent="0.3">
      <c r="A15" s="3" t="s">
        <v>18</v>
      </c>
      <c r="B15" s="4"/>
      <c r="C15" s="4"/>
    </row>
    <row r="16" spans="1:3" ht="26.4" x14ac:dyDescent="0.3">
      <c r="A16" s="5" t="s">
        <v>19</v>
      </c>
      <c r="B16" s="6" t="s">
        <v>20</v>
      </c>
    </row>
    <row r="17" spans="1:3" ht="26.4" x14ac:dyDescent="0.3">
      <c r="A17" s="5" t="s">
        <v>21</v>
      </c>
      <c r="B17" s="6" t="s">
        <v>22</v>
      </c>
    </row>
    <row r="18" spans="1:3" ht="26.4" x14ac:dyDescent="0.3">
      <c r="A18" s="5" t="s">
        <v>23</v>
      </c>
      <c r="B18" s="6" t="s">
        <v>24</v>
      </c>
    </row>
    <row r="19" spans="1:3" ht="26.4" x14ac:dyDescent="0.3">
      <c r="A19" s="5" t="s">
        <v>25</v>
      </c>
      <c r="B19" s="6" t="s">
        <v>26</v>
      </c>
    </row>
    <row r="20" spans="1:3" ht="26.4" x14ac:dyDescent="0.3">
      <c r="A20" s="5" t="s">
        <v>27</v>
      </c>
      <c r="B20" s="6" t="s">
        <v>28</v>
      </c>
    </row>
    <row r="21" spans="1:3" x14ac:dyDescent="0.3">
      <c r="A21" s="7"/>
      <c r="B21" s="6"/>
    </row>
    <row r="22" spans="1:3" x14ac:dyDescent="0.3">
      <c r="A22" s="3" t="s">
        <v>29</v>
      </c>
      <c r="B22" s="4"/>
      <c r="C22" s="4"/>
    </row>
    <row r="23" spans="1:3" ht="26.4" x14ac:dyDescent="0.3">
      <c r="A23" s="5" t="s">
        <v>30</v>
      </c>
      <c r="B23" s="6" t="s">
        <v>31</v>
      </c>
    </row>
    <row r="24" spans="1:3" x14ac:dyDescent="0.3">
      <c r="A24" s="5" t="s">
        <v>32</v>
      </c>
      <c r="B24" s="6" t="s">
        <v>33</v>
      </c>
    </row>
    <row r="25" spans="1:3" ht="26.4" x14ac:dyDescent="0.3">
      <c r="A25" s="5" t="s">
        <v>34</v>
      </c>
      <c r="B25" s="6" t="s">
        <v>35</v>
      </c>
    </row>
    <row r="26" spans="1:3" x14ac:dyDescent="0.3">
      <c r="A26" s="5" t="s">
        <v>36</v>
      </c>
      <c r="B26" s="6" t="s">
        <v>37</v>
      </c>
    </row>
    <row r="27" spans="1:3" ht="26.4" x14ac:dyDescent="0.3">
      <c r="A27" s="5" t="s">
        <v>38</v>
      </c>
      <c r="B27" s="6" t="s">
        <v>39</v>
      </c>
    </row>
    <row r="28" spans="1:3" x14ac:dyDescent="0.3">
      <c r="A28" s="5" t="s">
        <v>40</v>
      </c>
      <c r="B28" s="6" t="s">
        <v>41</v>
      </c>
    </row>
    <row r="29" spans="1:3" ht="26.4" x14ac:dyDescent="0.3">
      <c r="A29" s="5" t="s">
        <v>42</v>
      </c>
      <c r="B29" s="6" t="s">
        <v>43</v>
      </c>
    </row>
    <row r="30" spans="1:3" x14ac:dyDescent="0.3">
      <c r="A30" s="5" t="s">
        <v>44</v>
      </c>
      <c r="B30" s="6" t="s">
        <v>45</v>
      </c>
    </row>
    <row r="31" spans="1:3" x14ac:dyDescent="0.3">
      <c r="A31" s="5" t="s">
        <v>46</v>
      </c>
      <c r="B31" s="6" t="s">
        <v>47</v>
      </c>
    </row>
    <row r="32" spans="1:3" x14ac:dyDescent="0.3">
      <c r="A32" s="5" t="s">
        <v>48</v>
      </c>
      <c r="B32" s="6" t="s">
        <v>49</v>
      </c>
    </row>
    <row r="33" spans="1:3" ht="26.4" x14ac:dyDescent="0.3">
      <c r="A33" s="5" t="s">
        <v>50</v>
      </c>
      <c r="B33" s="6" t="s">
        <v>51</v>
      </c>
    </row>
    <row r="34" spans="1:3" ht="26.4" x14ac:dyDescent="0.3">
      <c r="A34" s="5" t="s">
        <v>27</v>
      </c>
      <c r="B34" s="6" t="s">
        <v>52</v>
      </c>
    </row>
    <row r="35" spans="1:3" x14ac:dyDescent="0.3">
      <c r="A35" s="7"/>
      <c r="B35" s="6"/>
    </row>
    <row r="36" spans="1:3" x14ac:dyDescent="0.3">
      <c r="A36" s="3" t="s">
        <v>53</v>
      </c>
      <c r="B36" s="4"/>
      <c r="C36" s="4"/>
    </row>
    <row r="37" spans="1:3" ht="26.4" x14ac:dyDescent="0.3">
      <c r="A37" s="5" t="s">
        <v>54</v>
      </c>
      <c r="B37" s="6" t="s">
        <v>55</v>
      </c>
    </row>
    <row r="38" spans="1:3" ht="26.4" x14ac:dyDescent="0.3">
      <c r="A38" s="5" t="s">
        <v>56</v>
      </c>
      <c r="B38" s="6" t="s">
        <v>57</v>
      </c>
    </row>
    <row r="39" spans="1:3" x14ac:dyDescent="0.3">
      <c r="A39" s="5" t="s">
        <v>58</v>
      </c>
      <c r="B39" s="6" t="s">
        <v>59</v>
      </c>
    </row>
    <row r="40" spans="1:3" ht="26.4" x14ac:dyDescent="0.3">
      <c r="A40" s="5" t="s">
        <v>60</v>
      </c>
      <c r="B40" s="6" t="s">
        <v>61</v>
      </c>
    </row>
    <row r="41" spans="1:3" x14ac:dyDescent="0.3">
      <c r="A41" s="5" t="s">
        <v>27</v>
      </c>
      <c r="B41" s="6" t="s">
        <v>62</v>
      </c>
    </row>
    <row r="42" spans="1:3" ht="26.4" x14ac:dyDescent="0.3">
      <c r="A42" s="5" t="s">
        <v>63</v>
      </c>
      <c r="B42" s="6" t="s">
        <v>64</v>
      </c>
    </row>
    <row r="43" spans="1:3" x14ac:dyDescent="0.3">
      <c r="A43" s="7"/>
      <c r="B43" s="6"/>
    </row>
    <row r="44" spans="1:3" x14ac:dyDescent="0.3">
      <c r="A44" s="3" t="s">
        <v>65</v>
      </c>
      <c r="B44" s="4"/>
      <c r="C44" s="4"/>
    </row>
    <row r="45" spans="1:3" ht="30" customHeight="1" x14ac:dyDescent="0.3">
      <c r="A45" s="10" t="s">
        <v>66</v>
      </c>
      <c r="B45" s="29" t="s">
        <v>67</v>
      </c>
      <c r="C45" s="30"/>
    </row>
    <row r="46" spans="1:3" ht="30" customHeight="1" x14ac:dyDescent="0.3">
      <c r="A46" s="10" t="s">
        <v>68</v>
      </c>
      <c r="B46" s="29" t="s">
        <v>69</v>
      </c>
      <c r="C46" s="30"/>
    </row>
    <row r="47" spans="1:3" ht="30" customHeight="1" x14ac:dyDescent="0.3">
      <c r="A47" s="10" t="s">
        <v>70</v>
      </c>
      <c r="B47" s="29" t="s">
        <v>71</v>
      </c>
      <c r="C47" s="30"/>
    </row>
    <row r="48" spans="1:3" ht="30" customHeight="1" x14ac:dyDescent="0.3">
      <c r="A48" s="10" t="s">
        <v>72</v>
      </c>
      <c r="B48" s="29" t="s">
        <v>73</v>
      </c>
      <c r="C48" s="30"/>
    </row>
    <row r="49" spans="1:3" ht="30" customHeight="1" x14ac:dyDescent="0.3">
      <c r="A49" s="10" t="s">
        <v>74</v>
      </c>
      <c r="B49" s="29" t="s">
        <v>75</v>
      </c>
      <c r="C49" s="30"/>
    </row>
    <row r="50" spans="1:3" ht="30" customHeight="1" x14ac:dyDescent="0.3">
      <c r="A50" s="10" t="s">
        <v>76</v>
      </c>
      <c r="B50" s="29" t="s">
        <v>77</v>
      </c>
      <c r="C50" s="30"/>
    </row>
  </sheetData>
  <mergeCells count="6">
    <mergeCell ref="B47:C47"/>
    <mergeCell ref="B48:C48"/>
    <mergeCell ref="B45:C45"/>
    <mergeCell ref="B46:C46"/>
    <mergeCell ref="B50:C50"/>
    <mergeCell ref="B49:C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4" width="48" customWidth="1"/>
    <col min="5" max="5" width="16" customWidth="1"/>
    <col min="6" max="8" width="18" customWidth="1"/>
  </cols>
  <sheetData>
    <row r="1" spans="1:4" ht="17.399999999999999" x14ac:dyDescent="0.3">
      <c r="A1" s="1" t="s">
        <v>78</v>
      </c>
    </row>
    <row r="2" spans="1:4" x14ac:dyDescent="0.3">
      <c r="A2" s="2" t="s">
        <v>79</v>
      </c>
    </row>
    <row r="4" spans="1:4" x14ac:dyDescent="0.3">
      <c r="A4" s="11" t="s">
        <v>80</v>
      </c>
      <c r="B4" s="11" t="s">
        <v>81</v>
      </c>
      <c r="C4" s="11" t="s">
        <v>82</v>
      </c>
      <c r="D4" s="11" t="s">
        <v>83</v>
      </c>
    </row>
    <row r="5" spans="1:4" x14ac:dyDescent="0.3">
      <c r="A5" s="7" t="s">
        <v>84</v>
      </c>
      <c r="B5" s="12">
        <v>250000</v>
      </c>
      <c r="C5" s="6" t="s">
        <v>85</v>
      </c>
    </row>
    <row r="6" spans="1:4" x14ac:dyDescent="0.3">
      <c r="A6" s="7" t="s">
        <v>86</v>
      </c>
      <c r="B6" s="13">
        <v>36</v>
      </c>
      <c r="C6" s="6" t="s">
        <v>87</v>
      </c>
    </row>
    <row r="7" spans="1:4" x14ac:dyDescent="0.3">
      <c r="A7" s="7" t="s">
        <v>88</v>
      </c>
      <c r="B7" s="14">
        <v>8.3000000000000001E-3</v>
      </c>
      <c r="C7" s="6" t="s">
        <v>89</v>
      </c>
    </row>
    <row r="8" spans="1:4" x14ac:dyDescent="0.3">
      <c r="A8" s="7" t="s">
        <v>90</v>
      </c>
      <c r="B8" s="12">
        <v>100</v>
      </c>
      <c r="C8" s="6" t="s">
        <v>91</v>
      </c>
    </row>
    <row r="9" spans="1:4" x14ac:dyDescent="0.3">
      <c r="A9" s="7" t="s">
        <v>92</v>
      </c>
      <c r="B9" s="12">
        <v>50000</v>
      </c>
      <c r="C9" s="6" t="s">
        <v>93</v>
      </c>
    </row>
    <row r="10" spans="1:4" x14ac:dyDescent="0.3">
      <c r="A10" s="7" t="s">
        <v>94</v>
      </c>
      <c r="B10" s="14">
        <v>0.02</v>
      </c>
      <c r="C10" s="6" t="s">
        <v>95</v>
      </c>
    </row>
    <row r="11" spans="1:4" x14ac:dyDescent="0.3">
      <c r="A11" s="7" t="s">
        <v>96</v>
      </c>
      <c r="B11" s="15">
        <v>1.35</v>
      </c>
      <c r="C11" s="6" t="s">
        <v>97</v>
      </c>
    </row>
    <row r="12" spans="1:4" x14ac:dyDescent="0.3">
      <c r="A12" s="7" t="s">
        <v>98</v>
      </c>
      <c r="B12" s="12">
        <v>100</v>
      </c>
      <c r="C12" s="6" t="s">
        <v>99</v>
      </c>
    </row>
    <row r="13" spans="1:4" x14ac:dyDescent="0.3">
      <c r="A13" s="7" t="s">
        <v>100</v>
      </c>
      <c r="B13" s="16">
        <v>46351</v>
      </c>
      <c r="C13" s="6" t="s">
        <v>101</v>
      </c>
    </row>
    <row r="15" spans="1:4" x14ac:dyDescent="0.3">
      <c r="A15" s="3" t="s">
        <v>102</v>
      </c>
      <c r="B15" s="4"/>
      <c r="C15" s="4"/>
      <c r="D15" s="4"/>
    </row>
    <row r="16" spans="1:4" x14ac:dyDescent="0.3">
      <c r="A16" s="7" t="s">
        <v>103</v>
      </c>
      <c r="B16" s="17">
        <f>ROUND($B$5/$B$6,2)</f>
        <v>6944.44</v>
      </c>
      <c r="C16" s="6" t="s">
        <v>104</v>
      </c>
      <c r="D16" s="18" t="str">
        <f>"₱"&amp;TEXT($B$5,"#,##0.00")&amp;" ÷ "&amp;$B$6&amp;" = "&amp;"₱"&amp;TEXT(B16,"#,##0.00")</f>
        <v>₱250,000.00 ÷ 36 = ₱6,944.44</v>
      </c>
    </row>
    <row r="17" spans="1:4" x14ac:dyDescent="0.3">
      <c r="A17" s="7" t="s">
        <v>105</v>
      </c>
      <c r="B17" s="17">
        <f>ROUND($B$5*$B$7,2)</f>
        <v>2075</v>
      </c>
      <c r="C17" s="6" t="s">
        <v>106</v>
      </c>
      <c r="D17" s="18" t="str">
        <f>"₱"&amp;TEXT($B$5,"#,##0.00")&amp;" × "&amp;TEXT($B$7,"0.00%")&amp;" = "&amp;"₱"&amp;TEXT(B17,"#,##0.00")</f>
        <v>₱250,000.00 × 0.83% = ₱2,075.00</v>
      </c>
    </row>
    <row r="18" spans="1:4" x14ac:dyDescent="0.3">
      <c r="A18" s="5" t="s">
        <v>107</v>
      </c>
      <c r="B18" s="19">
        <f>$B$16+$B$17</f>
        <v>9019.4399999999987</v>
      </c>
      <c r="C18" s="6" t="s">
        <v>108</v>
      </c>
      <c r="D18" s="18" t="str">
        <f>"₱"&amp;TEXT($B$16,"#,##0.00")&amp;" + "&amp;"₱"&amp;TEXT($B$17,"#,##0.00")&amp;" = "&amp;"₱"&amp;TEXT(B18,"#,##0.00")</f>
        <v>₱6,944.44 + ₱2,075.00 = ₱9,019.44</v>
      </c>
    </row>
    <row r="19" spans="1:4" x14ac:dyDescent="0.3">
      <c r="A19" s="7" t="s">
        <v>109</v>
      </c>
      <c r="B19" s="17">
        <f>ROUND($B$5*$B$7*$B$6,2)</f>
        <v>74700</v>
      </c>
      <c r="C19" s="6" t="s">
        <v>33</v>
      </c>
      <c r="D19" s="18" t="str">
        <f>"₱"&amp;TEXT($B$5,"#,##0.00")&amp;" × "&amp;TEXT($B$7,"0.00%")&amp;" × "&amp;$B$6&amp;" = "&amp;"₱"&amp;TEXT(B19,"#,##0.00")</f>
        <v>₱250,000.00 × 0.83% × 36 = ₱74,700.00</v>
      </c>
    </row>
    <row r="20" spans="1:4" x14ac:dyDescent="0.3">
      <c r="A20" s="7" t="s">
        <v>110</v>
      </c>
      <c r="B20" s="17">
        <f>$B$5+$B$19</f>
        <v>324700</v>
      </c>
      <c r="C20" s="6" t="s">
        <v>111</v>
      </c>
      <c r="D20" s="18" t="str">
        <f>"₱"&amp;TEXT($B$5,"#,##0.00")&amp;" + "&amp;"₱"&amp;TEXT($B$19,"#,##0.00")&amp;" = "&amp;"₱"&amp;TEXT(B20,"#,##0.00")</f>
        <v>₱250,000.00 + ₱74,700.00 = ₱324,700.00</v>
      </c>
    </row>
    <row r="22" spans="1:4" x14ac:dyDescent="0.3">
      <c r="A22" s="3" t="s">
        <v>112</v>
      </c>
      <c r="B22" s="4"/>
      <c r="C22" s="4"/>
      <c r="D22" s="4"/>
    </row>
    <row r="23" spans="1:4" ht="26.4" x14ac:dyDescent="0.3">
      <c r="A23" s="7" t="s">
        <v>113</v>
      </c>
      <c r="B23" s="20">
        <f>INT((INT($B$5)-1)/$B$9)+1</f>
        <v>5</v>
      </c>
      <c r="C23" s="6" t="s">
        <v>114</v>
      </c>
      <c r="D23" s="18" t="str">
        <f>"INT(("&amp;TEXT($B$5,"#,##0")&amp;" - 1) ÷ "&amp;TEXT($B$9,"#,##0")&amp;") + 1 = "&amp;B23</f>
        <v>INT((250,000 - 1) ÷ 50,000) + 1 = 5</v>
      </c>
    </row>
    <row r="24" spans="1:4" x14ac:dyDescent="0.3">
      <c r="A24" s="7" t="s">
        <v>115</v>
      </c>
      <c r="B24" s="17">
        <f>$B$23*$B$8</f>
        <v>500</v>
      </c>
      <c r="C24" s="6" t="s">
        <v>116</v>
      </c>
      <c r="D24" s="18" t="str">
        <f>B23&amp;" × "&amp;"₱"&amp;TEXT($B$8,"#,##0.00")&amp;" = "&amp;"₱"&amp;TEXT(B24,"#,##0.00")</f>
        <v>5 × ₱100.00 = ₱500.00</v>
      </c>
    </row>
    <row r="25" spans="1:4" x14ac:dyDescent="0.3">
      <c r="A25" s="7" t="s">
        <v>42</v>
      </c>
      <c r="B25" s="17">
        <f>ROUND($B$5*$B$10,2)</f>
        <v>5000</v>
      </c>
      <c r="C25" s="6" t="s">
        <v>117</v>
      </c>
      <c r="D25" s="18" t="str">
        <f>"₱"&amp;TEXT($B$5,"#,##0.00")&amp;" × "&amp;TEXT($B$10,"0%")&amp;" = "&amp;"₱"&amp;TEXT(B25,"#,##0.00")</f>
        <v>₱250,000.00 × 2% = ₱5,000.00</v>
      </c>
    </row>
    <row r="26" spans="1:4" x14ac:dyDescent="0.3">
      <c r="A26" s="7" t="s">
        <v>118</v>
      </c>
      <c r="B26" s="17">
        <f>ROUND($B$5*$B$11/1000,2)</f>
        <v>337.5</v>
      </c>
      <c r="C26" s="6" t="s">
        <v>119</v>
      </c>
      <c r="D26" s="18" t="str">
        <f>"₱"&amp;TEXT($B$5,"#,##0.00")&amp;" × "&amp;TEXT($B$11,"0.00")&amp;" ÷ 1,000 = "&amp;"₱"&amp;TEXT(B26,"#,##0.00")</f>
        <v>₱250,000.00 × 1.35 ÷ 1,000 = ₱337.50</v>
      </c>
    </row>
    <row r="27" spans="1:4" x14ac:dyDescent="0.3">
      <c r="A27" s="7" t="s">
        <v>98</v>
      </c>
      <c r="B27" s="17">
        <f>$B$12</f>
        <v>100</v>
      </c>
      <c r="C27" s="6" t="s">
        <v>120</v>
      </c>
      <c r="D27" s="18" t="str">
        <f>"₱"&amp;TEXT(B27,"#,##0.00")</f>
        <v>₱100.00</v>
      </c>
    </row>
    <row r="28" spans="1:4" x14ac:dyDescent="0.3">
      <c r="A28" s="5" t="s">
        <v>121</v>
      </c>
      <c r="B28" s="19">
        <f>$B$24+$B$25+$B$26+$B$27</f>
        <v>5937.5</v>
      </c>
      <c r="C28" s="6" t="s">
        <v>122</v>
      </c>
      <c r="D28" s="18" t="str">
        <f>"₱"&amp;TEXT($B$24,"#,##0.00")&amp;" + "&amp;"₱"&amp;TEXT($B$25,"#,##0.00")&amp;" + "&amp;"₱"&amp;TEXT($B$26,"#,##0.00")&amp;" + "&amp;"₱"&amp;TEXT($B$27,"#,##0.00")&amp;" = "&amp;"₱"&amp;TEXT(B28,"#,##0.00")</f>
        <v>₱500.00 + ₱5,000.00 + ₱337.50 + ₱100.00 = ₱5,937.50</v>
      </c>
    </row>
    <row r="29" spans="1:4" x14ac:dyDescent="0.3">
      <c r="A29" s="5" t="s">
        <v>123</v>
      </c>
      <c r="B29" s="19">
        <f>$B$5-$B$28</f>
        <v>244062.5</v>
      </c>
      <c r="C29" s="6" t="s">
        <v>124</v>
      </c>
      <c r="D29" s="18" t="str">
        <f>"₱"&amp;TEXT($B$5,"#,##0.00")&amp;" - "&amp;"₱"&amp;TEXT($B$28,"#,##0.00")&amp;" = "&amp;"₱"&amp;TEXT(B29,"#,##0.00")</f>
        <v>₱250,000.00 - ₱5,937.50 = ₱244,062.50</v>
      </c>
    </row>
    <row r="31" spans="1:4" x14ac:dyDescent="0.3">
      <c r="A31" s="3" t="s">
        <v>125</v>
      </c>
      <c r="B31" s="4"/>
      <c r="C31" s="4"/>
      <c r="D31" s="4"/>
    </row>
    <row r="32" spans="1:4" x14ac:dyDescent="0.3">
      <c r="A32" s="7" t="s">
        <v>126</v>
      </c>
      <c r="B32" s="17">
        <f>F99</f>
        <v>324699.84000000003</v>
      </c>
      <c r="C32" s="6" t="s">
        <v>127</v>
      </c>
    </row>
    <row r="33" spans="1:8" x14ac:dyDescent="0.3">
      <c r="A33" s="7" t="s">
        <v>128</v>
      </c>
      <c r="B33" s="17">
        <f>$B$20-B32</f>
        <v>0.15999999997438863</v>
      </c>
      <c r="C33" s="6" t="s">
        <v>129</v>
      </c>
      <c r="D33" s="18" t="str">
        <f>"₱"&amp;TEXT($B$20,"#,##0.00")&amp;" - "&amp;"₱"&amp;TEXT(B32,"#,##0.00")&amp;" = "&amp;"₱"&amp;TEXT(B33,"#,##0.00")</f>
        <v>₱324,700.00 - ₱324,699.84 = ₱0.16</v>
      </c>
    </row>
    <row r="34" spans="1:8" x14ac:dyDescent="0.3">
      <c r="A34" s="7" t="s">
        <v>130</v>
      </c>
      <c r="B34" s="21" t="str">
        <f>IF(ROUND(E99-$B$19,2)=0,"YES","NO")</f>
        <v>YES</v>
      </c>
      <c r="C34" s="6" t="s">
        <v>131</v>
      </c>
    </row>
    <row r="37" spans="1:8" x14ac:dyDescent="0.3">
      <c r="A37" s="22" t="s">
        <v>132</v>
      </c>
    </row>
    <row r="38" spans="1:8" ht="26.4" x14ac:dyDescent="0.3">
      <c r="A38" s="11" t="s">
        <v>133</v>
      </c>
      <c r="B38" s="11" t="s">
        <v>134</v>
      </c>
      <c r="C38" s="11" t="s">
        <v>135</v>
      </c>
      <c r="D38" s="11" t="s">
        <v>136</v>
      </c>
      <c r="E38" s="11" t="s">
        <v>137</v>
      </c>
      <c r="F38" s="11" t="s">
        <v>138</v>
      </c>
      <c r="G38" s="11" t="s">
        <v>139</v>
      </c>
      <c r="H38" s="11" t="s">
        <v>140</v>
      </c>
    </row>
    <row r="39" spans="1:8" x14ac:dyDescent="0.3">
      <c r="A39" s="23">
        <f>IF(1&lt;=$B$6,1,"")</f>
        <v>1</v>
      </c>
      <c r="B39" s="24">
        <f t="shared" ref="B39:B70" si="0">IF($A39="","",EDATE($B$13,$A39-1))</f>
        <v>46351</v>
      </c>
      <c r="C39" s="17">
        <f>IF($A39="","",$B$5)</f>
        <v>250000</v>
      </c>
      <c r="D39" s="17">
        <f t="shared" ref="D39:D70" si="1">IF($A39="","",ROUND($B$5/$B$6,2))</f>
        <v>6944.44</v>
      </c>
      <c r="E39" s="17">
        <f t="shared" ref="E39:E70" si="2">IF($A39="","",ROUND($B$5*$B$7,2))</f>
        <v>2075</v>
      </c>
      <c r="F39" s="17">
        <f t="shared" ref="F39:F70" si="3">IF($A39="","",D39+E39)</f>
        <v>9019.4399999999987</v>
      </c>
      <c r="G39" s="17">
        <f t="shared" ref="G39:G70" si="4">IF($A39="","",MAX(ROUND(C39-D39,2),0))</f>
        <v>243055.56</v>
      </c>
      <c r="H39" s="17">
        <f>IF($A39="","",F39)</f>
        <v>9019.4399999999987</v>
      </c>
    </row>
    <row r="40" spans="1:8" x14ac:dyDescent="0.3">
      <c r="A40" s="23">
        <f>IF(2&lt;=$B$6,2,"")</f>
        <v>2</v>
      </c>
      <c r="B40" s="24">
        <f t="shared" si="0"/>
        <v>46381</v>
      </c>
      <c r="C40" s="17">
        <f t="shared" ref="C40:C71" si="5">IF($A40="","",G39)</f>
        <v>243055.56</v>
      </c>
      <c r="D40" s="17">
        <f t="shared" si="1"/>
        <v>6944.44</v>
      </c>
      <c r="E40" s="17">
        <f t="shared" si="2"/>
        <v>2075</v>
      </c>
      <c r="F40" s="17">
        <f t="shared" si="3"/>
        <v>9019.4399999999987</v>
      </c>
      <c r="G40" s="17">
        <f t="shared" si="4"/>
        <v>236111.12</v>
      </c>
      <c r="H40" s="17">
        <f t="shared" ref="H40:H71" si="6">IF($A40="","",F40+H39)</f>
        <v>18038.879999999997</v>
      </c>
    </row>
    <row r="41" spans="1:8" x14ac:dyDescent="0.3">
      <c r="A41" s="23">
        <f>IF(3&lt;=$B$6,3,"")</f>
        <v>3</v>
      </c>
      <c r="B41" s="24">
        <f t="shared" si="0"/>
        <v>46412</v>
      </c>
      <c r="C41" s="17">
        <f t="shared" si="5"/>
        <v>236111.12</v>
      </c>
      <c r="D41" s="17">
        <f t="shared" si="1"/>
        <v>6944.44</v>
      </c>
      <c r="E41" s="17">
        <f t="shared" si="2"/>
        <v>2075</v>
      </c>
      <c r="F41" s="17">
        <f t="shared" si="3"/>
        <v>9019.4399999999987</v>
      </c>
      <c r="G41" s="17">
        <f t="shared" si="4"/>
        <v>229166.68</v>
      </c>
      <c r="H41" s="17">
        <f t="shared" si="6"/>
        <v>27058.319999999996</v>
      </c>
    </row>
    <row r="42" spans="1:8" x14ac:dyDescent="0.3">
      <c r="A42" s="23">
        <f>IF(4&lt;=$B$6,4,"")</f>
        <v>4</v>
      </c>
      <c r="B42" s="24">
        <f t="shared" si="0"/>
        <v>46443</v>
      </c>
      <c r="C42" s="17">
        <f t="shared" si="5"/>
        <v>229166.68</v>
      </c>
      <c r="D42" s="17">
        <f t="shared" si="1"/>
        <v>6944.44</v>
      </c>
      <c r="E42" s="17">
        <f t="shared" si="2"/>
        <v>2075</v>
      </c>
      <c r="F42" s="17">
        <f t="shared" si="3"/>
        <v>9019.4399999999987</v>
      </c>
      <c r="G42" s="17">
        <f t="shared" si="4"/>
        <v>222222.24</v>
      </c>
      <c r="H42" s="17">
        <f t="shared" si="6"/>
        <v>36077.759999999995</v>
      </c>
    </row>
    <row r="43" spans="1:8" x14ac:dyDescent="0.3">
      <c r="A43" s="23">
        <f>IF(5&lt;=$B$6,5,"")</f>
        <v>5</v>
      </c>
      <c r="B43" s="24">
        <f t="shared" si="0"/>
        <v>46471</v>
      </c>
      <c r="C43" s="17">
        <f t="shared" si="5"/>
        <v>222222.24</v>
      </c>
      <c r="D43" s="17">
        <f t="shared" si="1"/>
        <v>6944.44</v>
      </c>
      <c r="E43" s="17">
        <f t="shared" si="2"/>
        <v>2075</v>
      </c>
      <c r="F43" s="17">
        <f t="shared" si="3"/>
        <v>9019.4399999999987</v>
      </c>
      <c r="G43" s="17">
        <f t="shared" si="4"/>
        <v>215277.8</v>
      </c>
      <c r="H43" s="17">
        <f t="shared" si="6"/>
        <v>45097.2</v>
      </c>
    </row>
    <row r="44" spans="1:8" x14ac:dyDescent="0.3">
      <c r="A44" s="23">
        <f>IF(6&lt;=$B$6,6,"")</f>
        <v>6</v>
      </c>
      <c r="B44" s="24">
        <f t="shared" si="0"/>
        <v>46502</v>
      </c>
      <c r="C44" s="17">
        <f t="shared" si="5"/>
        <v>215277.8</v>
      </c>
      <c r="D44" s="17">
        <f t="shared" si="1"/>
        <v>6944.44</v>
      </c>
      <c r="E44" s="17">
        <f t="shared" si="2"/>
        <v>2075</v>
      </c>
      <c r="F44" s="17">
        <f t="shared" si="3"/>
        <v>9019.4399999999987</v>
      </c>
      <c r="G44" s="17">
        <f t="shared" si="4"/>
        <v>208333.36</v>
      </c>
      <c r="H44" s="17">
        <f t="shared" si="6"/>
        <v>54116.639999999999</v>
      </c>
    </row>
    <row r="45" spans="1:8" x14ac:dyDescent="0.3">
      <c r="A45" s="23">
        <f>IF(7&lt;=$B$6,7,"")</f>
        <v>7</v>
      </c>
      <c r="B45" s="24">
        <f t="shared" si="0"/>
        <v>46532</v>
      </c>
      <c r="C45" s="17">
        <f t="shared" si="5"/>
        <v>208333.36</v>
      </c>
      <c r="D45" s="17">
        <f t="shared" si="1"/>
        <v>6944.44</v>
      </c>
      <c r="E45" s="17">
        <f t="shared" si="2"/>
        <v>2075</v>
      </c>
      <c r="F45" s="17">
        <f t="shared" si="3"/>
        <v>9019.4399999999987</v>
      </c>
      <c r="G45" s="17">
        <f t="shared" si="4"/>
        <v>201388.92</v>
      </c>
      <c r="H45" s="17">
        <f t="shared" si="6"/>
        <v>63136.08</v>
      </c>
    </row>
    <row r="46" spans="1:8" x14ac:dyDescent="0.3">
      <c r="A46" s="23">
        <f>IF(8&lt;=$B$6,8,"")</f>
        <v>8</v>
      </c>
      <c r="B46" s="24">
        <f t="shared" si="0"/>
        <v>46563</v>
      </c>
      <c r="C46" s="17">
        <f t="shared" si="5"/>
        <v>201388.92</v>
      </c>
      <c r="D46" s="17">
        <f t="shared" si="1"/>
        <v>6944.44</v>
      </c>
      <c r="E46" s="17">
        <f t="shared" si="2"/>
        <v>2075</v>
      </c>
      <c r="F46" s="17">
        <f t="shared" si="3"/>
        <v>9019.4399999999987</v>
      </c>
      <c r="G46" s="17">
        <f t="shared" si="4"/>
        <v>194444.48</v>
      </c>
      <c r="H46" s="17">
        <f t="shared" si="6"/>
        <v>72155.520000000004</v>
      </c>
    </row>
    <row r="47" spans="1:8" x14ac:dyDescent="0.3">
      <c r="A47" s="23">
        <f>IF(9&lt;=$B$6,9,"")</f>
        <v>9</v>
      </c>
      <c r="B47" s="24">
        <f t="shared" si="0"/>
        <v>46593</v>
      </c>
      <c r="C47" s="17">
        <f t="shared" si="5"/>
        <v>194444.48</v>
      </c>
      <c r="D47" s="17">
        <f t="shared" si="1"/>
        <v>6944.44</v>
      </c>
      <c r="E47" s="17">
        <f t="shared" si="2"/>
        <v>2075</v>
      </c>
      <c r="F47" s="17">
        <f t="shared" si="3"/>
        <v>9019.4399999999987</v>
      </c>
      <c r="G47" s="17">
        <f t="shared" si="4"/>
        <v>187500.04</v>
      </c>
      <c r="H47" s="17">
        <f t="shared" si="6"/>
        <v>81174.960000000006</v>
      </c>
    </row>
    <row r="48" spans="1:8" x14ac:dyDescent="0.3">
      <c r="A48" s="23">
        <f>IF(10&lt;=$B$6,10,"")</f>
        <v>10</v>
      </c>
      <c r="B48" s="24">
        <f t="shared" si="0"/>
        <v>46624</v>
      </c>
      <c r="C48" s="17">
        <f t="shared" si="5"/>
        <v>187500.04</v>
      </c>
      <c r="D48" s="17">
        <f t="shared" si="1"/>
        <v>6944.44</v>
      </c>
      <c r="E48" s="17">
        <f t="shared" si="2"/>
        <v>2075</v>
      </c>
      <c r="F48" s="17">
        <f t="shared" si="3"/>
        <v>9019.4399999999987</v>
      </c>
      <c r="G48" s="17">
        <f t="shared" si="4"/>
        <v>180555.6</v>
      </c>
      <c r="H48" s="17">
        <f t="shared" si="6"/>
        <v>90194.400000000009</v>
      </c>
    </row>
    <row r="49" spans="1:8" x14ac:dyDescent="0.3">
      <c r="A49" s="23">
        <f>IF(11&lt;=$B$6,11,"")</f>
        <v>11</v>
      </c>
      <c r="B49" s="24">
        <f t="shared" si="0"/>
        <v>46655</v>
      </c>
      <c r="C49" s="17">
        <f t="shared" si="5"/>
        <v>180555.6</v>
      </c>
      <c r="D49" s="17">
        <f t="shared" si="1"/>
        <v>6944.44</v>
      </c>
      <c r="E49" s="17">
        <f t="shared" si="2"/>
        <v>2075</v>
      </c>
      <c r="F49" s="17">
        <f t="shared" si="3"/>
        <v>9019.4399999999987</v>
      </c>
      <c r="G49" s="17">
        <f t="shared" si="4"/>
        <v>173611.16</v>
      </c>
      <c r="H49" s="17">
        <f t="shared" si="6"/>
        <v>99213.840000000011</v>
      </c>
    </row>
    <row r="50" spans="1:8" x14ac:dyDescent="0.3">
      <c r="A50" s="23">
        <f>IF(12&lt;=$B$6,12,"")</f>
        <v>12</v>
      </c>
      <c r="B50" s="24">
        <f t="shared" si="0"/>
        <v>46685</v>
      </c>
      <c r="C50" s="17">
        <f t="shared" si="5"/>
        <v>173611.16</v>
      </c>
      <c r="D50" s="17">
        <f t="shared" si="1"/>
        <v>6944.44</v>
      </c>
      <c r="E50" s="17">
        <f t="shared" si="2"/>
        <v>2075</v>
      </c>
      <c r="F50" s="17">
        <f t="shared" si="3"/>
        <v>9019.4399999999987</v>
      </c>
      <c r="G50" s="17">
        <f t="shared" si="4"/>
        <v>166666.72</v>
      </c>
      <c r="H50" s="17">
        <f t="shared" si="6"/>
        <v>108233.28000000001</v>
      </c>
    </row>
    <row r="51" spans="1:8" x14ac:dyDescent="0.3">
      <c r="A51" s="23">
        <f>IF(13&lt;=$B$6,13,"")</f>
        <v>13</v>
      </c>
      <c r="B51" s="24">
        <f t="shared" si="0"/>
        <v>46716</v>
      </c>
      <c r="C51" s="17">
        <f t="shared" si="5"/>
        <v>166666.72</v>
      </c>
      <c r="D51" s="17">
        <f t="shared" si="1"/>
        <v>6944.44</v>
      </c>
      <c r="E51" s="17">
        <f t="shared" si="2"/>
        <v>2075</v>
      </c>
      <c r="F51" s="17">
        <f t="shared" si="3"/>
        <v>9019.4399999999987</v>
      </c>
      <c r="G51" s="17">
        <f t="shared" si="4"/>
        <v>159722.28</v>
      </c>
      <c r="H51" s="17">
        <f t="shared" si="6"/>
        <v>117252.72000000002</v>
      </c>
    </row>
    <row r="52" spans="1:8" x14ac:dyDescent="0.3">
      <c r="A52" s="23">
        <f>IF(14&lt;=$B$6,14,"")</f>
        <v>14</v>
      </c>
      <c r="B52" s="24">
        <f t="shared" si="0"/>
        <v>46746</v>
      </c>
      <c r="C52" s="17">
        <f t="shared" si="5"/>
        <v>159722.28</v>
      </c>
      <c r="D52" s="17">
        <f t="shared" si="1"/>
        <v>6944.44</v>
      </c>
      <c r="E52" s="17">
        <f t="shared" si="2"/>
        <v>2075</v>
      </c>
      <c r="F52" s="17">
        <f t="shared" si="3"/>
        <v>9019.4399999999987</v>
      </c>
      <c r="G52" s="17">
        <f t="shared" si="4"/>
        <v>152777.84</v>
      </c>
      <c r="H52" s="17">
        <f t="shared" si="6"/>
        <v>126272.16000000002</v>
      </c>
    </row>
    <row r="53" spans="1:8" x14ac:dyDescent="0.3">
      <c r="A53" s="23">
        <f>IF(15&lt;=$B$6,15,"")</f>
        <v>15</v>
      </c>
      <c r="B53" s="24">
        <f t="shared" si="0"/>
        <v>46777</v>
      </c>
      <c r="C53" s="17">
        <f t="shared" si="5"/>
        <v>152777.84</v>
      </c>
      <c r="D53" s="17">
        <f t="shared" si="1"/>
        <v>6944.44</v>
      </c>
      <c r="E53" s="17">
        <f t="shared" si="2"/>
        <v>2075</v>
      </c>
      <c r="F53" s="17">
        <f t="shared" si="3"/>
        <v>9019.4399999999987</v>
      </c>
      <c r="G53" s="17">
        <f t="shared" si="4"/>
        <v>145833.4</v>
      </c>
      <c r="H53" s="17">
        <f t="shared" si="6"/>
        <v>135291.6</v>
      </c>
    </row>
    <row r="54" spans="1:8" x14ac:dyDescent="0.3">
      <c r="A54" s="23">
        <f>IF(16&lt;=$B$6,16,"")</f>
        <v>16</v>
      </c>
      <c r="B54" s="24">
        <f t="shared" si="0"/>
        <v>46808</v>
      </c>
      <c r="C54" s="17">
        <f t="shared" si="5"/>
        <v>145833.4</v>
      </c>
      <c r="D54" s="17">
        <f t="shared" si="1"/>
        <v>6944.44</v>
      </c>
      <c r="E54" s="17">
        <f t="shared" si="2"/>
        <v>2075</v>
      </c>
      <c r="F54" s="17">
        <f t="shared" si="3"/>
        <v>9019.4399999999987</v>
      </c>
      <c r="G54" s="17">
        <f t="shared" si="4"/>
        <v>138888.95999999999</v>
      </c>
      <c r="H54" s="17">
        <f t="shared" si="6"/>
        <v>144311.04000000001</v>
      </c>
    </row>
    <row r="55" spans="1:8" x14ac:dyDescent="0.3">
      <c r="A55" s="23">
        <f>IF(17&lt;=$B$6,17,"")</f>
        <v>17</v>
      </c>
      <c r="B55" s="24">
        <f t="shared" si="0"/>
        <v>46837</v>
      </c>
      <c r="C55" s="17">
        <f t="shared" si="5"/>
        <v>138888.95999999999</v>
      </c>
      <c r="D55" s="17">
        <f t="shared" si="1"/>
        <v>6944.44</v>
      </c>
      <c r="E55" s="17">
        <f t="shared" si="2"/>
        <v>2075</v>
      </c>
      <c r="F55" s="17">
        <f t="shared" si="3"/>
        <v>9019.4399999999987</v>
      </c>
      <c r="G55" s="17">
        <f t="shared" si="4"/>
        <v>131944.51999999999</v>
      </c>
      <c r="H55" s="17">
        <f t="shared" si="6"/>
        <v>153330.48000000001</v>
      </c>
    </row>
    <row r="56" spans="1:8" x14ac:dyDescent="0.3">
      <c r="A56" s="23">
        <f>IF(18&lt;=$B$6,18,"")</f>
        <v>18</v>
      </c>
      <c r="B56" s="24">
        <f t="shared" si="0"/>
        <v>46868</v>
      </c>
      <c r="C56" s="17">
        <f t="shared" si="5"/>
        <v>131944.51999999999</v>
      </c>
      <c r="D56" s="17">
        <f t="shared" si="1"/>
        <v>6944.44</v>
      </c>
      <c r="E56" s="17">
        <f t="shared" si="2"/>
        <v>2075</v>
      </c>
      <c r="F56" s="17">
        <f t="shared" si="3"/>
        <v>9019.4399999999987</v>
      </c>
      <c r="G56" s="17">
        <f t="shared" si="4"/>
        <v>125000.08</v>
      </c>
      <c r="H56" s="17">
        <f t="shared" si="6"/>
        <v>162349.92000000001</v>
      </c>
    </row>
    <row r="57" spans="1:8" x14ac:dyDescent="0.3">
      <c r="A57" s="23">
        <f>IF(19&lt;=$B$6,19,"")</f>
        <v>19</v>
      </c>
      <c r="B57" s="24">
        <f t="shared" si="0"/>
        <v>46898</v>
      </c>
      <c r="C57" s="17">
        <f t="shared" si="5"/>
        <v>125000.08</v>
      </c>
      <c r="D57" s="17">
        <f t="shared" si="1"/>
        <v>6944.44</v>
      </c>
      <c r="E57" s="17">
        <f t="shared" si="2"/>
        <v>2075</v>
      </c>
      <c r="F57" s="17">
        <f t="shared" si="3"/>
        <v>9019.4399999999987</v>
      </c>
      <c r="G57" s="17">
        <f t="shared" si="4"/>
        <v>118055.64</v>
      </c>
      <c r="H57" s="17">
        <f t="shared" si="6"/>
        <v>171369.36000000002</v>
      </c>
    </row>
    <row r="58" spans="1:8" x14ac:dyDescent="0.3">
      <c r="A58" s="23">
        <f>IF(20&lt;=$B$6,20,"")</f>
        <v>20</v>
      </c>
      <c r="B58" s="24">
        <f t="shared" si="0"/>
        <v>46929</v>
      </c>
      <c r="C58" s="17">
        <f t="shared" si="5"/>
        <v>118055.64</v>
      </c>
      <c r="D58" s="17">
        <f t="shared" si="1"/>
        <v>6944.44</v>
      </c>
      <c r="E58" s="17">
        <f t="shared" si="2"/>
        <v>2075</v>
      </c>
      <c r="F58" s="17">
        <f t="shared" si="3"/>
        <v>9019.4399999999987</v>
      </c>
      <c r="G58" s="17">
        <f t="shared" si="4"/>
        <v>111111.2</v>
      </c>
      <c r="H58" s="17">
        <f t="shared" si="6"/>
        <v>180388.80000000002</v>
      </c>
    </row>
    <row r="59" spans="1:8" x14ac:dyDescent="0.3">
      <c r="A59" s="23">
        <f>IF(21&lt;=$B$6,21,"")</f>
        <v>21</v>
      </c>
      <c r="B59" s="24">
        <f t="shared" si="0"/>
        <v>46959</v>
      </c>
      <c r="C59" s="17">
        <f t="shared" si="5"/>
        <v>111111.2</v>
      </c>
      <c r="D59" s="17">
        <f t="shared" si="1"/>
        <v>6944.44</v>
      </c>
      <c r="E59" s="17">
        <f t="shared" si="2"/>
        <v>2075</v>
      </c>
      <c r="F59" s="17">
        <f t="shared" si="3"/>
        <v>9019.4399999999987</v>
      </c>
      <c r="G59" s="17">
        <f t="shared" si="4"/>
        <v>104166.76</v>
      </c>
      <c r="H59" s="17">
        <f t="shared" si="6"/>
        <v>189408.24000000002</v>
      </c>
    </row>
    <row r="60" spans="1:8" x14ac:dyDescent="0.3">
      <c r="A60" s="23">
        <f>IF(22&lt;=$B$6,22,"")</f>
        <v>22</v>
      </c>
      <c r="B60" s="24">
        <f t="shared" si="0"/>
        <v>46990</v>
      </c>
      <c r="C60" s="17">
        <f t="shared" si="5"/>
        <v>104166.76</v>
      </c>
      <c r="D60" s="17">
        <f t="shared" si="1"/>
        <v>6944.44</v>
      </c>
      <c r="E60" s="17">
        <f t="shared" si="2"/>
        <v>2075</v>
      </c>
      <c r="F60" s="17">
        <f t="shared" si="3"/>
        <v>9019.4399999999987</v>
      </c>
      <c r="G60" s="17">
        <f t="shared" si="4"/>
        <v>97222.32</v>
      </c>
      <c r="H60" s="17">
        <f t="shared" si="6"/>
        <v>198427.68000000002</v>
      </c>
    </row>
    <row r="61" spans="1:8" x14ac:dyDescent="0.3">
      <c r="A61" s="23">
        <f>IF(23&lt;=$B$6,23,"")</f>
        <v>23</v>
      </c>
      <c r="B61" s="24">
        <f t="shared" si="0"/>
        <v>47021</v>
      </c>
      <c r="C61" s="17">
        <f t="shared" si="5"/>
        <v>97222.32</v>
      </c>
      <c r="D61" s="17">
        <f t="shared" si="1"/>
        <v>6944.44</v>
      </c>
      <c r="E61" s="17">
        <f t="shared" si="2"/>
        <v>2075</v>
      </c>
      <c r="F61" s="17">
        <f t="shared" si="3"/>
        <v>9019.4399999999987</v>
      </c>
      <c r="G61" s="17">
        <f t="shared" si="4"/>
        <v>90277.88</v>
      </c>
      <c r="H61" s="17">
        <f t="shared" si="6"/>
        <v>207447.12000000002</v>
      </c>
    </row>
    <row r="62" spans="1:8" x14ac:dyDescent="0.3">
      <c r="A62" s="23">
        <f>IF(24&lt;=$B$6,24,"")</f>
        <v>24</v>
      </c>
      <c r="B62" s="24">
        <f t="shared" si="0"/>
        <v>47051</v>
      </c>
      <c r="C62" s="17">
        <f t="shared" si="5"/>
        <v>90277.88</v>
      </c>
      <c r="D62" s="17">
        <f t="shared" si="1"/>
        <v>6944.44</v>
      </c>
      <c r="E62" s="17">
        <f t="shared" si="2"/>
        <v>2075</v>
      </c>
      <c r="F62" s="17">
        <f t="shared" si="3"/>
        <v>9019.4399999999987</v>
      </c>
      <c r="G62" s="17">
        <f t="shared" si="4"/>
        <v>83333.440000000002</v>
      </c>
      <c r="H62" s="17">
        <f t="shared" si="6"/>
        <v>216466.56000000003</v>
      </c>
    </row>
    <row r="63" spans="1:8" x14ac:dyDescent="0.3">
      <c r="A63" s="23">
        <f>IF(25&lt;=$B$6,25,"")</f>
        <v>25</v>
      </c>
      <c r="B63" s="24">
        <f t="shared" si="0"/>
        <v>47082</v>
      </c>
      <c r="C63" s="17">
        <f t="shared" si="5"/>
        <v>83333.440000000002</v>
      </c>
      <c r="D63" s="17">
        <f t="shared" si="1"/>
        <v>6944.44</v>
      </c>
      <c r="E63" s="17">
        <f t="shared" si="2"/>
        <v>2075</v>
      </c>
      <c r="F63" s="17">
        <f t="shared" si="3"/>
        <v>9019.4399999999987</v>
      </c>
      <c r="G63" s="17">
        <f t="shared" si="4"/>
        <v>76389</v>
      </c>
      <c r="H63" s="17">
        <f t="shared" si="6"/>
        <v>225486.00000000003</v>
      </c>
    </row>
    <row r="64" spans="1:8" x14ac:dyDescent="0.3">
      <c r="A64" s="23">
        <f>IF(26&lt;=$B$6,26,"")</f>
        <v>26</v>
      </c>
      <c r="B64" s="24">
        <f t="shared" si="0"/>
        <v>47112</v>
      </c>
      <c r="C64" s="17">
        <f t="shared" si="5"/>
        <v>76389</v>
      </c>
      <c r="D64" s="17">
        <f t="shared" si="1"/>
        <v>6944.44</v>
      </c>
      <c r="E64" s="17">
        <f t="shared" si="2"/>
        <v>2075</v>
      </c>
      <c r="F64" s="17">
        <f t="shared" si="3"/>
        <v>9019.4399999999987</v>
      </c>
      <c r="G64" s="17">
        <f t="shared" si="4"/>
        <v>69444.56</v>
      </c>
      <c r="H64" s="17">
        <f t="shared" si="6"/>
        <v>234505.44000000003</v>
      </c>
    </row>
    <row r="65" spans="1:8" x14ac:dyDescent="0.3">
      <c r="A65" s="23">
        <f>IF(27&lt;=$B$6,27,"")</f>
        <v>27</v>
      </c>
      <c r="B65" s="24">
        <f t="shared" si="0"/>
        <v>47143</v>
      </c>
      <c r="C65" s="17">
        <f t="shared" si="5"/>
        <v>69444.56</v>
      </c>
      <c r="D65" s="17">
        <f t="shared" si="1"/>
        <v>6944.44</v>
      </c>
      <c r="E65" s="17">
        <f t="shared" si="2"/>
        <v>2075</v>
      </c>
      <c r="F65" s="17">
        <f t="shared" si="3"/>
        <v>9019.4399999999987</v>
      </c>
      <c r="G65" s="17">
        <f t="shared" si="4"/>
        <v>62500.12</v>
      </c>
      <c r="H65" s="17">
        <f t="shared" si="6"/>
        <v>243524.88000000003</v>
      </c>
    </row>
    <row r="66" spans="1:8" x14ac:dyDescent="0.3">
      <c r="A66" s="23">
        <f>IF(28&lt;=$B$6,28,"")</f>
        <v>28</v>
      </c>
      <c r="B66" s="24">
        <f t="shared" si="0"/>
        <v>47174</v>
      </c>
      <c r="C66" s="17">
        <f t="shared" si="5"/>
        <v>62500.12</v>
      </c>
      <c r="D66" s="17">
        <f t="shared" si="1"/>
        <v>6944.44</v>
      </c>
      <c r="E66" s="17">
        <f t="shared" si="2"/>
        <v>2075</v>
      </c>
      <c r="F66" s="17">
        <f t="shared" si="3"/>
        <v>9019.4399999999987</v>
      </c>
      <c r="G66" s="17">
        <f t="shared" si="4"/>
        <v>55555.68</v>
      </c>
      <c r="H66" s="17">
        <f t="shared" si="6"/>
        <v>252544.32000000004</v>
      </c>
    </row>
    <row r="67" spans="1:8" x14ac:dyDescent="0.3">
      <c r="A67" s="23">
        <f>IF(29&lt;=$B$6,29,"")</f>
        <v>29</v>
      </c>
      <c r="B67" s="24">
        <f t="shared" si="0"/>
        <v>47202</v>
      </c>
      <c r="C67" s="17">
        <f t="shared" si="5"/>
        <v>55555.68</v>
      </c>
      <c r="D67" s="17">
        <f t="shared" si="1"/>
        <v>6944.44</v>
      </c>
      <c r="E67" s="17">
        <f t="shared" si="2"/>
        <v>2075</v>
      </c>
      <c r="F67" s="17">
        <f t="shared" si="3"/>
        <v>9019.4399999999987</v>
      </c>
      <c r="G67" s="17">
        <f t="shared" si="4"/>
        <v>48611.24</v>
      </c>
      <c r="H67" s="17">
        <f t="shared" si="6"/>
        <v>261563.76000000004</v>
      </c>
    </row>
    <row r="68" spans="1:8" x14ac:dyDescent="0.3">
      <c r="A68" s="23">
        <f>IF(30&lt;=$B$6,30,"")</f>
        <v>30</v>
      </c>
      <c r="B68" s="24">
        <f t="shared" si="0"/>
        <v>47233</v>
      </c>
      <c r="C68" s="17">
        <f t="shared" si="5"/>
        <v>48611.24</v>
      </c>
      <c r="D68" s="17">
        <f t="shared" si="1"/>
        <v>6944.44</v>
      </c>
      <c r="E68" s="17">
        <f t="shared" si="2"/>
        <v>2075</v>
      </c>
      <c r="F68" s="17">
        <f t="shared" si="3"/>
        <v>9019.4399999999987</v>
      </c>
      <c r="G68" s="17">
        <f t="shared" si="4"/>
        <v>41666.800000000003</v>
      </c>
      <c r="H68" s="17">
        <f t="shared" si="6"/>
        <v>270583.2</v>
      </c>
    </row>
    <row r="69" spans="1:8" x14ac:dyDescent="0.3">
      <c r="A69" s="23">
        <f>IF(31&lt;=$B$6,31,"")</f>
        <v>31</v>
      </c>
      <c r="B69" s="24">
        <f t="shared" si="0"/>
        <v>47263</v>
      </c>
      <c r="C69" s="17">
        <f t="shared" si="5"/>
        <v>41666.800000000003</v>
      </c>
      <c r="D69" s="17">
        <f t="shared" si="1"/>
        <v>6944.44</v>
      </c>
      <c r="E69" s="17">
        <f t="shared" si="2"/>
        <v>2075</v>
      </c>
      <c r="F69" s="17">
        <f t="shared" si="3"/>
        <v>9019.4399999999987</v>
      </c>
      <c r="G69" s="17">
        <f t="shared" si="4"/>
        <v>34722.36</v>
      </c>
      <c r="H69" s="17">
        <f t="shared" si="6"/>
        <v>279602.64</v>
      </c>
    </row>
    <row r="70" spans="1:8" x14ac:dyDescent="0.3">
      <c r="A70" s="23">
        <f>IF(32&lt;=$B$6,32,"")</f>
        <v>32</v>
      </c>
      <c r="B70" s="24">
        <f t="shared" si="0"/>
        <v>47294</v>
      </c>
      <c r="C70" s="17">
        <f t="shared" si="5"/>
        <v>34722.36</v>
      </c>
      <c r="D70" s="17">
        <f t="shared" si="1"/>
        <v>6944.44</v>
      </c>
      <c r="E70" s="17">
        <f t="shared" si="2"/>
        <v>2075</v>
      </c>
      <c r="F70" s="17">
        <f t="shared" si="3"/>
        <v>9019.4399999999987</v>
      </c>
      <c r="G70" s="17">
        <f t="shared" si="4"/>
        <v>27777.919999999998</v>
      </c>
      <c r="H70" s="17">
        <f t="shared" si="6"/>
        <v>288622.08000000002</v>
      </c>
    </row>
    <row r="71" spans="1:8" x14ac:dyDescent="0.3">
      <c r="A71" s="23">
        <f>IF(33&lt;=$B$6,33,"")</f>
        <v>33</v>
      </c>
      <c r="B71" s="24">
        <f t="shared" ref="B71:B98" si="7">IF($A71="","",EDATE($B$13,$A71-1))</f>
        <v>47324</v>
      </c>
      <c r="C71" s="17">
        <f t="shared" si="5"/>
        <v>27777.919999999998</v>
      </c>
      <c r="D71" s="17">
        <f t="shared" ref="D71:D98" si="8">IF($A71="","",ROUND($B$5/$B$6,2))</f>
        <v>6944.44</v>
      </c>
      <c r="E71" s="17">
        <f t="shared" ref="E71:E98" si="9">IF($A71="","",ROUND($B$5*$B$7,2))</f>
        <v>2075</v>
      </c>
      <c r="F71" s="17">
        <f t="shared" ref="F71:F102" si="10">IF($A71="","",D71+E71)</f>
        <v>9019.4399999999987</v>
      </c>
      <c r="G71" s="17">
        <f t="shared" ref="G71:G98" si="11">IF($A71="","",MAX(ROUND(C71-D71,2),0))</f>
        <v>20833.48</v>
      </c>
      <c r="H71" s="17">
        <f t="shared" si="6"/>
        <v>297641.52</v>
      </c>
    </row>
    <row r="72" spans="1:8" x14ac:dyDescent="0.3">
      <c r="A72" s="23">
        <f>IF(34&lt;=$B$6,34,"")</f>
        <v>34</v>
      </c>
      <c r="B72" s="24">
        <f t="shared" si="7"/>
        <v>47355</v>
      </c>
      <c r="C72" s="17">
        <f t="shared" ref="C72:C98" si="12">IF($A72="","",G71)</f>
        <v>20833.48</v>
      </c>
      <c r="D72" s="17">
        <f t="shared" si="8"/>
        <v>6944.44</v>
      </c>
      <c r="E72" s="17">
        <f t="shared" si="9"/>
        <v>2075</v>
      </c>
      <c r="F72" s="17">
        <f t="shared" si="10"/>
        <v>9019.4399999999987</v>
      </c>
      <c r="G72" s="17">
        <f t="shared" si="11"/>
        <v>13889.04</v>
      </c>
      <c r="H72" s="17">
        <f t="shared" ref="H72:H98" si="13">IF($A72="","",F72+H71)</f>
        <v>306660.96000000002</v>
      </c>
    </row>
    <row r="73" spans="1:8" x14ac:dyDescent="0.3">
      <c r="A73" s="23">
        <f>IF(35&lt;=$B$6,35,"")</f>
        <v>35</v>
      </c>
      <c r="B73" s="24">
        <f t="shared" si="7"/>
        <v>47386</v>
      </c>
      <c r="C73" s="17">
        <f t="shared" si="12"/>
        <v>13889.04</v>
      </c>
      <c r="D73" s="17">
        <f t="shared" si="8"/>
        <v>6944.44</v>
      </c>
      <c r="E73" s="17">
        <f t="shared" si="9"/>
        <v>2075</v>
      </c>
      <c r="F73" s="17">
        <f t="shared" si="10"/>
        <v>9019.4399999999987</v>
      </c>
      <c r="G73" s="17">
        <f t="shared" si="11"/>
        <v>6944.6</v>
      </c>
      <c r="H73" s="17">
        <f t="shared" si="13"/>
        <v>315680.40000000002</v>
      </c>
    </row>
    <row r="74" spans="1:8" x14ac:dyDescent="0.3">
      <c r="A74" s="23">
        <f>IF(36&lt;=$B$6,36,"")</f>
        <v>36</v>
      </c>
      <c r="B74" s="24">
        <f t="shared" si="7"/>
        <v>47416</v>
      </c>
      <c r="C74" s="17">
        <f t="shared" si="12"/>
        <v>6944.6</v>
      </c>
      <c r="D74" s="17">
        <f t="shared" si="8"/>
        <v>6944.44</v>
      </c>
      <c r="E74" s="17">
        <f t="shared" si="9"/>
        <v>2075</v>
      </c>
      <c r="F74" s="17">
        <f t="shared" si="10"/>
        <v>9019.4399999999987</v>
      </c>
      <c r="G74" s="17">
        <f t="shared" si="11"/>
        <v>0.16</v>
      </c>
      <c r="H74" s="17">
        <f t="shared" si="13"/>
        <v>324699.84000000003</v>
      </c>
    </row>
    <row r="75" spans="1:8" x14ac:dyDescent="0.3">
      <c r="A75" s="23" t="str">
        <f>IF(37&lt;=$B$6,37,"")</f>
        <v/>
      </c>
      <c r="B75" s="24" t="str">
        <f t="shared" si="7"/>
        <v/>
      </c>
      <c r="C75" s="17" t="str">
        <f t="shared" si="12"/>
        <v/>
      </c>
      <c r="D75" s="17" t="str">
        <f t="shared" si="8"/>
        <v/>
      </c>
      <c r="E75" s="17" t="str">
        <f t="shared" si="9"/>
        <v/>
      </c>
      <c r="F75" s="17" t="str">
        <f t="shared" si="10"/>
        <v/>
      </c>
      <c r="G75" s="17" t="str">
        <f t="shared" si="11"/>
        <v/>
      </c>
      <c r="H75" s="17" t="str">
        <f t="shared" si="13"/>
        <v/>
      </c>
    </row>
    <row r="76" spans="1:8" x14ac:dyDescent="0.3">
      <c r="A76" s="23" t="str">
        <f>IF(38&lt;=$B$6,38,"")</f>
        <v/>
      </c>
      <c r="B76" s="24" t="str">
        <f t="shared" si="7"/>
        <v/>
      </c>
      <c r="C76" s="17" t="str">
        <f t="shared" si="12"/>
        <v/>
      </c>
      <c r="D76" s="17" t="str">
        <f t="shared" si="8"/>
        <v/>
      </c>
      <c r="E76" s="17" t="str">
        <f t="shared" si="9"/>
        <v/>
      </c>
      <c r="F76" s="17" t="str">
        <f t="shared" si="10"/>
        <v/>
      </c>
      <c r="G76" s="17" t="str">
        <f t="shared" si="11"/>
        <v/>
      </c>
      <c r="H76" s="17" t="str">
        <f t="shared" si="13"/>
        <v/>
      </c>
    </row>
    <row r="77" spans="1:8" x14ac:dyDescent="0.3">
      <c r="A77" s="23" t="str">
        <f>IF(39&lt;=$B$6,39,"")</f>
        <v/>
      </c>
      <c r="B77" s="24" t="str">
        <f t="shared" si="7"/>
        <v/>
      </c>
      <c r="C77" s="17" t="str">
        <f t="shared" si="12"/>
        <v/>
      </c>
      <c r="D77" s="17" t="str">
        <f t="shared" si="8"/>
        <v/>
      </c>
      <c r="E77" s="17" t="str">
        <f t="shared" si="9"/>
        <v/>
      </c>
      <c r="F77" s="17" t="str">
        <f t="shared" si="10"/>
        <v/>
      </c>
      <c r="G77" s="17" t="str">
        <f t="shared" si="11"/>
        <v/>
      </c>
      <c r="H77" s="17" t="str">
        <f t="shared" si="13"/>
        <v/>
      </c>
    </row>
    <row r="78" spans="1:8" x14ac:dyDescent="0.3">
      <c r="A78" s="23" t="str">
        <f>IF(40&lt;=$B$6,40,"")</f>
        <v/>
      </c>
      <c r="B78" s="24" t="str">
        <f t="shared" si="7"/>
        <v/>
      </c>
      <c r="C78" s="17" t="str">
        <f t="shared" si="12"/>
        <v/>
      </c>
      <c r="D78" s="17" t="str">
        <f t="shared" si="8"/>
        <v/>
      </c>
      <c r="E78" s="17" t="str">
        <f t="shared" si="9"/>
        <v/>
      </c>
      <c r="F78" s="17" t="str">
        <f t="shared" si="10"/>
        <v/>
      </c>
      <c r="G78" s="17" t="str">
        <f t="shared" si="11"/>
        <v/>
      </c>
      <c r="H78" s="17" t="str">
        <f t="shared" si="13"/>
        <v/>
      </c>
    </row>
    <row r="79" spans="1:8" x14ac:dyDescent="0.3">
      <c r="A79" s="23" t="str">
        <f>IF(41&lt;=$B$6,41,"")</f>
        <v/>
      </c>
      <c r="B79" s="24" t="str">
        <f t="shared" si="7"/>
        <v/>
      </c>
      <c r="C79" s="17" t="str">
        <f t="shared" si="12"/>
        <v/>
      </c>
      <c r="D79" s="17" t="str">
        <f t="shared" si="8"/>
        <v/>
      </c>
      <c r="E79" s="17" t="str">
        <f t="shared" si="9"/>
        <v/>
      </c>
      <c r="F79" s="17" t="str">
        <f t="shared" si="10"/>
        <v/>
      </c>
      <c r="G79" s="17" t="str">
        <f t="shared" si="11"/>
        <v/>
      </c>
      <c r="H79" s="17" t="str">
        <f t="shared" si="13"/>
        <v/>
      </c>
    </row>
    <row r="80" spans="1:8" x14ac:dyDescent="0.3">
      <c r="A80" s="23" t="str">
        <f>IF(42&lt;=$B$6,42,"")</f>
        <v/>
      </c>
      <c r="B80" s="24" t="str">
        <f t="shared" si="7"/>
        <v/>
      </c>
      <c r="C80" s="17" t="str">
        <f t="shared" si="12"/>
        <v/>
      </c>
      <c r="D80" s="17" t="str">
        <f t="shared" si="8"/>
        <v/>
      </c>
      <c r="E80" s="17" t="str">
        <f t="shared" si="9"/>
        <v/>
      </c>
      <c r="F80" s="17" t="str">
        <f t="shared" si="10"/>
        <v/>
      </c>
      <c r="G80" s="17" t="str">
        <f t="shared" si="11"/>
        <v/>
      </c>
      <c r="H80" s="17" t="str">
        <f t="shared" si="13"/>
        <v/>
      </c>
    </row>
    <row r="81" spans="1:8" x14ac:dyDescent="0.3">
      <c r="A81" s="23" t="str">
        <f>IF(43&lt;=$B$6,43,"")</f>
        <v/>
      </c>
      <c r="B81" s="24" t="str">
        <f t="shared" si="7"/>
        <v/>
      </c>
      <c r="C81" s="17" t="str">
        <f t="shared" si="12"/>
        <v/>
      </c>
      <c r="D81" s="17" t="str">
        <f t="shared" si="8"/>
        <v/>
      </c>
      <c r="E81" s="17" t="str">
        <f t="shared" si="9"/>
        <v/>
      </c>
      <c r="F81" s="17" t="str">
        <f t="shared" si="10"/>
        <v/>
      </c>
      <c r="G81" s="17" t="str">
        <f t="shared" si="11"/>
        <v/>
      </c>
      <c r="H81" s="17" t="str">
        <f t="shared" si="13"/>
        <v/>
      </c>
    </row>
    <row r="82" spans="1:8" x14ac:dyDescent="0.3">
      <c r="A82" s="23" t="str">
        <f>IF(44&lt;=$B$6,44,"")</f>
        <v/>
      </c>
      <c r="B82" s="24" t="str">
        <f t="shared" si="7"/>
        <v/>
      </c>
      <c r="C82" s="17" t="str">
        <f t="shared" si="12"/>
        <v/>
      </c>
      <c r="D82" s="17" t="str">
        <f t="shared" si="8"/>
        <v/>
      </c>
      <c r="E82" s="17" t="str">
        <f t="shared" si="9"/>
        <v/>
      </c>
      <c r="F82" s="17" t="str">
        <f t="shared" si="10"/>
        <v/>
      </c>
      <c r="G82" s="17" t="str">
        <f t="shared" si="11"/>
        <v/>
      </c>
      <c r="H82" s="17" t="str">
        <f t="shared" si="13"/>
        <v/>
      </c>
    </row>
    <row r="83" spans="1:8" x14ac:dyDescent="0.3">
      <c r="A83" s="23" t="str">
        <f>IF(45&lt;=$B$6,45,"")</f>
        <v/>
      </c>
      <c r="B83" s="24" t="str">
        <f t="shared" si="7"/>
        <v/>
      </c>
      <c r="C83" s="17" t="str">
        <f t="shared" si="12"/>
        <v/>
      </c>
      <c r="D83" s="17" t="str">
        <f t="shared" si="8"/>
        <v/>
      </c>
      <c r="E83" s="17" t="str">
        <f t="shared" si="9"/>
        <v/>
      </c>
      <c r="F83" s="17" t="str">
        <f t="shared" si="10"/>
        <v/>
      </c>
      <c r="G83" s="17" t="str">
        <f t="shared" si="11"/>
        <v/>
      </c>
      <c r="H83" s="17" t="str">
        <f t="shared" si="13"/>
        <v/>
      </c>
    </row>
    <row r="84" spans="1:8" x14ac:dyDescent="0.3">
      <c r="A84" s="23" t="str">
        <f>IF(46&lt;=$B$6,46,"")</f>
        <v/>
      </c>
      <c r="B84" s="24" t="str">
        <f t="shared" si="7"/>
        <v/>
      </c>
      <c r="C84" s="17" t="str">
        <f t="shared" si="12"/>
        <v/>
      </c>
      <c r="D84" s="17" t="str">
        <f t="shared" si="8"/>
        <v/>
      </c>
      <c r="E84" s="17" t="str">
        <f t="shared" si="9"/>
        <v/>
      </c>
      <c r="F84" s="17" t="str">
        <f t="shared" si="10"/>
        <v/>
      </c>
      <c r="G84" s="17" t="str">
        <f t="shared" si="11"/>
        <v/>
      </c>
      <c r="H84" s="17" t="str">
        <f t="shared" si="13"/>
        <v/>
      </c>
    </row>
    <row r="85" spans="1:8" x14ac:dyDescent="0.3">
      <c r="A85" s="23" t="str">
        <f>IF(47&lt;=$B$6,47,"")</f>
        <v/>
      </c>
      <c r="B85" s="24" t="str">
        <f t="shared" si="7"/>
        <v/>
      </c>
      <c r="C85" s="17" t="str">
        <f t="shared" si="12"/>
        <v/>
      </c>
      <c r="D85" s="17" t="str">
        <f t="shared" si="8"/>
        <v/>
      </c>
      <c r="E85" s="17" t="str">
        <f t="shared" si="9"/>
        <v/>
      </c>
      <c r="F85" s="17" t="str">
        <f t="shared" si="10"/>
        <v/>
      </c>
      <c r="G85" s="17" t="str">
        <f t="shared" si="11"/>
        <v/>
      </c>
      <c r="H85" s="17" t="str">
        <f t="shared" si="13"/>
        <v/>
      </c>
    </row>
    <row r="86" spans="1:8" x14ac:dyDescent="0.3">
      <c r="A86" s="23" t="str">
        <f>IF(48&lt;=$B$6,48,"")</f>
        <v/>
      </c>
      <c r="B86" s="24" t="str">
        <f t="shared" si="7"/>
        <v/>
      </c>
      <c r="C86" s="17" t="str">
        <f t="shared" si="12"/>
        <v/>
      </c>
      <c r="D86" s="17" t="str">
        <f t="shared" si="8"/>
        <v/>
      </c>
      <c r="E86" s="17" t="str">
        <f t="shared" si="9"/>
        <v/>
      </c>
      <c r="F86" s="17" t="str">
        <f t="shared" si="10"/>
        <v/>
      </c>
      <c r="G86" s="17" t="str">
        <f t="shared" si="11"/>
        <v/>
      </c>
      <c r="H86" s="17" t="str">
        <f t="shared" si="13"/>
        <v/>
      </c>
    </row>
    <row r="87" spans="1:8" x14ac:dyDescent="0.3">
      <c r="A87" s="23" t="str">
        <f>IF(49&lt;=$B$6,49,"")</f>
        <v/>
      </c>
      <c r="B87" s="24" t="str">
        <f t="shared" si="7"/>
        <v/>
      </c>
      <c r="C87" s="17" t="str">
        <f t="shared" si="12"/>
        <v/>
      </c>
      <c r="D87" s="17" t="str">
        <f t="shared" si="8"/>
        <v/>
      </c>
      <c r="E87" s="17" t="str">
        <f t="shared" si="9"/>
        <v/>
      </c>
      <c r="F87" s="17" t="str">
        <f t="shared" si="10"/>
        <v/>
      </c>
      <c r="G87" s="17" t="str">
        <f t="shared" si="11"/>
        <v/>
      </c>
      <c r="H87" s="17" t="str">
        <f t="shared" si="13"/>
        <v/>
      </c>
    </row>
    <row r="88" spans="1:8" x14ac:dyDescent="0.3">
      <c r="A88" s="23" t="str">
        <f>IF(50&lt;=$B$6,50,"")</f>
        <v/>
      </c>
      <c r="B88" s="24" t="str">
        <f t="shared" si="7"/>
        <v/>
      </c>
      <c r="C88" s="17" t="str">
        <f t="shared" si="12"/>
        <v/>
      </c>
      <c r="D88" s="17" t="str">
        <f t="shared" si="8"/>
        <v/>
      </c>
      <c r="E88" s="17" t="str">
        <f t="shared" si="9"/>
        <v/>
      </c>
      <c r="F88" s="17" t="str">
        <f t="shared" si="10"/>
        <v/>
      </c>
      <c r="G88" s="17" t="str">
        <f t="shared" si="11"/>
        <v/>
      </c>
      <c r="H88" s="17" t="str">
        <f t="shared" si="13"/>
        <v/>
      </c>
    </row>
    <row r="89" spans="1:8" x14ac:dyDescent="0.3">
      <c r="A89" s="23" t="str">
        <f>IF(51&lt;=$B$6,51,"")</f>
        <v/>
      </c>
      <c r="B89" s="24" t="str">
        <f t="shared" si="7"/>
        <v/>
      </c>
      <c r="C89" s="17" t="str">
        <f t="shared" si="12"/>
        <v/>
      </c>
      <c r="D89" s="17" t="str">
        <f t="shared" si="8"/>
        <v/>
      </c>
      <c r="E89" s="17" t="str">
        <f t="shared" si="9"/>
        <v/>
      </c>
      <c r="F89" s="17" t="str">
        <f t="shared" si="10"/>
        <v/>
      </c>
      <c r="G89" s="17" t="str">
        <f t="shared" si="11"/>
        <v/>
      </c>
      <c r="H89" s="17" t="str">
        <f t="shared" si="13"/>
        <v/>
      </c>
    </row>
    <row r="90" spans="1:8" x14ac:dyDescent="0.3">
      <c r="A90" s="23" t="str">
        <f>IF(52&lt;=$B$6,52,"")</f>
        <v/>
      </c>
      <c r="B90" s="24" t="str">
        <f t="shared" si="7"/>
        <v/>
      </c>
      <c r="C90" s="17" t="str">
        <f t="shared" si="12"/>
        <v/>
      </c>
      <c r="D90" s="17" t="str">
        <f t="shared" si="8"/>
        <v/>
      </c>
      <c r="E90" s="17" t="str">
        <f t="shared" si="9"/>
        <v/>
      </c>
      <c r="F90" s="17" t="str">
        <f t="shared" si="10"/>
        <v/>
      </c>
      <c r="G90" s="17" t="str">
        <f t="shared" si="11"/>
        <v/>
      </c>
      <c r="H90" s="17" t="str">
        <f t="shared" si="13"/>
        <v/>
      </c>
    </row>
    <row r="91" spans="1:8" x14ac:dyDescent="0.3">
      <c r="A91" s="23" t="str">
        <f>IF(53&lt;=$B$6,53,"")</f>
        <v/>
      </c>
      <c r="B91" s="24" t="str">
        <f t="shared" si="7"/>
        <v/>
      </c>
      <c r="C91" s="17" t="str">
        <f t="shared" si="12"/>
        <v/>
      </c>
      <c r="D91" s="17" t="str">
        <f t="shared" si="8"/>
        <v/>
      </c>
      <c r="E91" s="17" t="str">
        <f t="shared" si="9"/>
        <v/>
      </c>
      <c r="F91" s="17" t="str">
        <f t="shared" si="10"/>
        <v/>
      </c>
      <c r="G91" s="17" t="str">
        <f t="shared" si="11"/>
        <v/>
      </c>
      <c r="H91" s="17" t="str">
        <f t="shared" si="13"/>
        <v/>
      </c>
    </row>
    <row r="92" spans="1:8" x14ac:dyDescent="0.3">
      <c r="A92" s="23" t="str">
        <f>IF(54&lt;=$B$6,54,"")</f>
        <v/>
      </c>
      <c r="B92" s="24" t="str">
        <f t="shared" si="7"/>
        <v/>
      </c>
      <c r="C92" s="17" t="str">
        <f t="shared" si="12"/>
        <v/>
      </c>
      <c r="D92" s="17" t="str">
        <f t="shared" si="8"/>
        <v/>
      </c>
      <c r="E92" s="17" t="str">
        <f t="shared" si="9"/>
        <v/>
      </c>
      <c r="F92" s="17" t="str">
        <f t="shared" si="10"/>
        <v/>
      </c>
      <c r="G92" s="17" t="str">
        <f t="shared" si="11"/>
        <v/>
      </c>
      <c r="H92" s="17" t="str">
        <f t="shared" si="13"/>
        <v/>
      </c>
    </row>
    <row r="93" spans="1:8" x14ac:dyDescent="0.3">
      <c r="A93" s="23" t="str">
        <f>IF(55&lt;=$B$6,55,"")</f>
        <v/>
      </c>
      <c r="B93" s="24" t="str">
        <f t="shared" si="7"/>
        <v/>
      </c>
      <c r="C93" s="17" t="str">
        <f t="shared" si="12"/>
        <v/>
      </c>
      <c r="D93" s="17" t="str">
        <f t="shared" si="8"/>
        <v/>
      </c>
      <c r="E93" s="17" t="str">
        <f t="shared" si="9"/>
        <v/>
      </c>
      <c r="F93" s="17" t="str">
        <f t="shared" si="10"/>
        <v/>
      </c>
      <c r="G93" s="17" t="str">
        <f t="shared" si="11"/>
        <v/>
      </c>
      <c r="H93" s="17" t="str">
        <f t="shared" si="13"/>
        <v/>
      </c>
    </row>
    <row r="94" spans="1:8" x14ac:dyDescent="0.3">
      <c r="A94" s="23" t="str">
        <f>IF(56&lt;=$B$6,56,"")</f>
        <v/>
      </c>
      <c r="B94" s="24" t="str">
        <f t="shared" si="7"/>
        <v/>
      </c>
      <c r="C94" s="17" t="str">
        <f t="shared" si="12"/>
        <v/>
      </c>
      <c r="D94" s="17" t="str">
        <f t="shared" si="8"/>
        <v/>
      </c>
      <c r="E94" s="17" t="str">
        <f t="shared" si="9"/>
        <v/>
      </c>
      <c r="F94" s="17" t="str">
        <f t="shared" si="10"/>
        <v/>
      </c>
      <c r="G94" s="17" t="str">
        <f t="shared" si="11"/>
        <v/>
      </c>
      <c r="H94" s="17" t="str">
        <f t="shared" si="13"/>
        <v/>
      </c>
    </row>
    <row r="95" spans="1:8" x14ac:dyDescent="0.3">
      <c r="A95" s="23" t="str">
        <f>IF(57&lt;=$B$6,57,"")</f>
        <v/>
      </c>
      <c r="B95" s="24" t="str">
        <f t="shared" si="7"/>
        <v/>
      </c>
      <c r="C95" s="17" t="str">
        <f t="shared" si="12"/>
        <v/>
      </c>
      <c r="D95" s="17" t="str">
        <f t="shared" si="8"/>
        <v/>
      </c>
      <c r="E95" s="17" t="str">
        <f t="shared" si="9"/>
        <v/>
      </c>
      <c r="F95" s="17" t="str">
        <f t="shared" si="10"/>
        <v/>
      </c>
      <c r="G95" s="17" t="str">
        <f t="shared" si="11"/>
        <v/>
      </c>
      <c r="H95" s="17" t="str">
        <f t="shared" si="13"/>
        <v/>
      </c>
    </row>
    <row r="96" spans="1:8" x14ac:dyDescent="0.3">
      <c r="A96" s="23" t="str">
        <f>IF(58&lt;=$B$6,58,"")</f>
        <v/>
      </c>
      <c r="B96" s="24" t="str">
        <f t="shared" si="7"/>
        <v/>
      </c>
      <c r="C96" s="17" t="str">
        <f t="shared" si="12"/>
        <v/>
      </c>
      <c r="D96" s="17" t="str">
        <f t="shared" si="8"/>
        <v/>
      </c>
      <c r="E96" s="17" t="str">
        <f t="shared" si="9"/>
        <v/>
      </c>
      <c r="F96" s="17" t="str">
        <f t="shared" si="10"/>
        <v/>
      </c>
      <c r="G96" s="17" t="str">
        <f t="shared" si="11"/>
        <v/>
      </c>
      <c r="H96" s="17" t="str">
        <f t="shared" si="13"/>
        <v/>
      </c>
    </row>
    <row r="97" spans="1:8" x14ac:dyDescent="0.3">
      <c r="A97" s="23" t="str">
        <f>IF(59&lt;=$B$6,59,"")</f>
        <v/>
      </c>
      <c r="B97" s="24" t="str">
        <f t="shared" si="7"/>
        <v/>
      </c>
      <c r="C97" s="17" t="str">
        <f t="shared" si="12"/>
        <v/>
      </c>
      <c r="D97" s="17" t="str">
        <f t="shared" si="8"/>
        <v/>
      </c>
      <c r="E97" s="17" t="str">
        <f t="shared" si="9"/>
        <v/>
      </c>
      <c r="F97" s="17" t="str">
        <f t="shared" si="10"/>
        <v/>
      </c>
      <c r="G97" s="17" t="str">
        <f t="shared" si="11"/>
        <v/>
      </c>
      <c r="H97" s="17" t="str">
        <f t="shared" si="13"/>
        <v/>
      </c>
    </row>
    <row r="98" spans="1:8" x14ac:dyDescent="0.3">
      <c r="A98" s="23" t="str">
        <f>IF(60&lt;=$B$6,60,"")</f>
        <v/>
      </c>
      <c r="B98" s="24" t="str">
        <f t="shared" si="7"/>
        <v/>
      </c>
      <c r="C98" s="17" t="str">
        <f t="shared" si="12"/>
        <v/>
      </c>
      <c r="D98" s="17" t="str">
        <f t="shared" si="8"/>
        <v/>
      </c>
      <c r="E98" s="17" t="str">
        <f t="shared" si="9"/>
        <v/>
      </c>
      <c r="F98" s="17" t="str">
        <f t="shared" si="10"/>
        <v/>
      </c>
      <c r="G98" s="17" t="str">
        <f t="shared" si="11"/>
        <v/>
      </c>
      <c r="H98" s="17" t="str">
        <f t="shared" si="13"/>
        <v/>
      </c>
    </row>
    <row r="99" spans="1:8" x14ac:dyDescent="0.3">
      <c r="A99" s="5" t="s">
        <v>141</v>
      </c>
      <c r="D99" s="19">
        <f>SUM(D39:D98)</f>
        <v>249999.84000000005</v>
      </c>
      <c r="E99" s="19">
        <f>SUM(E39:E98)</f>
        <v>74700</v>
      </c>
      <c r="F99" s="19">
        <f>SUM(F39:F98)</f>
        <v>324699.84000000003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4" width="48" customWidth="1"/>
    <col min="5" max="5" width="16" customWidth="1"/>
    <col min="6" max="8" width="18" customWidth="1"/>
  </cols>
  <sheetData>
    <row r="1" spans="1:4" ht="17.399999999999999" x14ac:dyDescent="0.3">
      <c r="A1" s="1" t="s">
        <v>142</v>
      </c>
    </row>
    <row r="2" spans="1:4" x14ac:dyDescent="0.3">
      <c r="A2" s="2" t="s">
        <v>143</v>
      </c>
    </row>
    <row r="4" spans="1:4" x14ac:dyDescent="0.3">
      <c r="A4" s="11" t="s">
        <v>144</v>
      </c>
      <c r="B4" s="11" t="s">
        <v>81</v>
      </c>
      <c r="C4" s="11" t="s">
        <v>82</v>
      </c>
      <c r="D4" s="11" t="s">
        <v>83</v>
      </c>
    </row>
    <row r="5" spans="1:4" x14ac:dyDescent="0.3">
      <c r="A5" s="7" t="s">
        <v>145</v>
      </c>
      <c r="B5" s="12">
        <v>150000</v>
      </c>
      <c r="C5" s="6" t="s">
        <v>146</v>
      </c>
    </row>
    <row r="6" spans="1:4" x14ac:dyDescent="0.3">
      <c r="A6" s="7" t="s">
        <v>147</v>
      </c>
      <c r="B6" s="13">
        <v>24</v>
      </c>
      <c r="C6" s="6"/>
    </row>
    <row r="7" spans="1:4" x14ac:dyDescent="0.3">
      <c r="A7" s="7" t="s">
        <v>148</v>
      </c>
      <c r="B7" s="14">
        <v>8.3000000000000001E-3</v>
      </c>
      <c r="C7" s="6"/>
    </row>
    <row r="8" spans="1:4" x14ac:dyDescent="0.3">
      <c r="A8" s="7" t="s">
        <v>149</v>
      </c>
      <c r="B8" s="13">
        <v>8</v>
      </c>
      <c r="C8" s="6" t="s">
        <v>150</v>
      </c>
    </row>
    <row r="10" spans="1:4" x14ac:dyDescent="0.3">
      <c r="A10" s="3" t="s">
        <v>151</v>
      </c>
      <c r="B10" s="4"/>
      <c r="C10" s="4"/>
      <c r="D10" s="4"/>
    </row>
    <row r="11" spans="1:4" x14ac:dyDescent="0.3">
      <c r="A11" s="7" t="s">
        <v>152</v>
      </c>
      <c r="B11" s="17">
        <f>ROUND($B$5/$B$6,2)+ROUND($B$5*$B$7,2)</f>
        <v>7495</v>
      </c>
      <c r="C11" s="6" t="s">
        <v>153</v>
      </c>
      <c r="D11" s="18" t="str">
        <f>"₱"&amp;TEXT($B$5,"#,##0.00")&amp;" ÷ "&amp;$B$6&amp;" + "&amp;"₱"&amp;TEXT($B$5,"#,##0.00")&amp;" × "&amp;TEXT($B$7,"0.00%")&amp;" = "&amp;"₱"&amp;TEXT(B11,"#,##0.00")</f>
        <v>₱150,000.00 ÷ 24 + ₱150,000.00 × 0.83% = ₱7,495.00</v>
      </c>
    </row>
    <row r="12" spans="1:4" x14ac:dyDescent="0.3">
      <c r="A12" s="7" t="s">
        <v>154</v>
      </c>
      <c r="B12" s="17">
        <f>$B$5+ROUND($B$5*$B$7*$B$6,2)</f>
        <v>179880</v>
      </c>
      <c r="C12" s="6" t="s">
        <v>155</v>
      </c>
      <c r="D12" s="18" t="str">
        <f>"₱"&amp;TEXT($B$5,"#,##0.00")&amp;" + "&amp;"₱"&amp;TEXT($B$5,"#,##0.00")&amp;" × "&amp;TEXT($B$7,"0.00%")&amp;" × "&amp;$B$6&amp;" = "&amp;"₱"&amp;TEXT(B12,"#,##0.00")</f>
        <v>₱150,000.00 + ₱150,000.00 × 0.83% × 24 = ₱179,880.00</v>
      </c>
    </row>
    <row r="13" spans="1:4" x14ac:dyDescent="0.3">
      <c r="A13" s="7" t="s">
        <v>156</v>
      </c>
      <c r="B13" s="17">
        <f>$B$11*$B$8</f>
        <v>59960</v>
      </c>
      <c r="C13" s="6" t="s">
        <v>157</v>
      </c>
      <c r="D13" s="18" t="str">
        <f>"₱"&amp;TEXT($B$11,"#,##0.00")&amp;" × "&amp;$B$8&amp;" = "&amp;"₱"&amp;TEXT(B13,"#,##0.00")</f>
        <v>₱7,495.00 × 8 = ₱59,960.00</v>
      </c>
    </row>
    <row r="14" spans="1:4" x14ac:dyDescent="0.3">
      <c r="A14" s="5" t="s">
        <v>158</v>
      </c>
      <c r="B14" s="19">
        <f>MAX($B$12-$B$13,0)</f>
        <v>119920</v>
      </c>
      <c r="C14" s="6" t="s">
        <v>159</v>
      </c>
      <c r="D14" s="18" t="str">
        <f>"₱"&amp;TEXT($B$12,"#,##0.00")&amp;" - "&amp;"₱"&amp;TEXT($B$13,"#,##0.00")&amp;" = "&amp;"₱"&amp;TEXT(B14,"#,##0.00")</f>
        <v>₱179,880.00 - ₱59,960.00 = ₱119,920.00</v>
      </c>
    </row>
    <row r="15" spans="1:4" x14ac:dyDescent="0.3">
      <c r="A15" s="7" t="s">
        <v>160</v>
      </c>
      <c r="B15" s="17">
        <f>$B$5-ROUND($B$5/$B$6,2)*$B$8</f>
        <v>100000</v>
      </c>
      <c r="C15" s="6" t="s">
        <v>161</v>
      </c>
      <c r="D15" s="18" t="str">
        <f>"₱"&amp;TEXT($B$5,"#,##0.00")&amp;" - "&amp;TEXT(ROUND($B$5/$B$6,2),"#,##0.00")&amp;" × "&amp;$B$8&amp;" = "&amp;"₱"&amp;TEXT(B15,"#,##0.00")</f>
        <v>₱150,000.00 - 6,250.00 × 8 = ₱100,000.00</v>
      </c>
    </row>
    <row r="16" spans="1:4" ht="26.4" x14ac:dyDescent="0.3">
      <c r="A16" s="7" t="s">
        <v>162</v>
      </c>
      <c r="B16" s="17">
        <f>$B$14-B15</f>
        <v>19920</v>
      </c>
      <c r="C16" s="6" t="s">
        <v>163</v>
      </c>
      <c r="D16" s="18" t="str">
        <f>"₱"&amp;TEXT($B$14,"#,##0.00")&amp;" - "&amp;"₱"&amp;TEXT(B15,"#,##0.00")&amp;" = "&amp;"₱"&amp;TEXT(B16,"#,##0.00")</f>
        <v>₱119,920.00 - ₱100,000.00 = ₱19,920.00</v>
      </c>
    </row>
    <row r="17" spans="1:4" x14ac:dyDescent="0.3">
      <c r="A17" s="7" t="s">
        <v>164</v>
      </c>
      <c r="B17" s="21" t="str">
        <f>IF($B$8&gt;=6,"ELIGIBLE","NOT YET: needs Bookkeeper override")</f>
        <v>ELIGIBLE</v>
      </c>
      <c r="C17" s="6" t="s">
        <v>165</v>
      </c>
    </row>
    <row r="19" spans="1:4" x14ac:dyDescent="0.3">
      <c r="A19" s="22" t="s">
        <v>166</v>
      </c>
    </row>
    <row r="20" spans="1:4" x14ac:dyDescent="0.3">
      <c r="A20" s="11" t="s">
        <v>80</v>
      </c>
      <c r="B20" s="11" t="s">
        <v>81</v>
      </c>
      <c r="C20" s="11" t="s">
        <v>82</v>
      </c>
      <c r="D20" s="11" t="s">
        <v>83</v>
      </c>
    </row>
    <row r="21" spans="1:4" x14ac:dyDescent="0.3">
      <c r="A21" s="7" t="s">
        <v>84</v>
      </c>
      <c r="B21" s="12">
        <v>300000</v>
      </c>
      <c r="C21" s="6" t="s">
        <v>85</v>
      </c>
    </row>
    <row r="22" spans="1:4" x14ac:dyDescent="0.3">
      <c r="A22" s="7" t="s">
        <v>86</v>
      </c>
      <c r="B22" s="13">
        <v>48</v>
      </c>
      <c r="C22" s="6" t="s">
        <v>87</v>
      </c>
    </row>
    <row r="23" spans="1:4" x14ac:dyDescent="0.3">
      <c r="A23" s="7" t="s">
        <v>88</v>
      </c>
      <c r="B23" s="14">
        <v>8.3000000000000001E-3</v>
      </c>
      <c r="C23" s="6" t="s">
        <v>89</v>
      </c>
    </row>
    <row r="24" spans="1:4" x14ac:dyDescent="0.3">
      <c r="A24" s="7" t="s">
        <v>90</v>
      </c>
      <c r="B24" s="12">
        <v>100</v>
      </c>
      <c r="C24" s="6" t="s">
        <v>91</v>
      </c>
    </row>
    <row r="25" spans="1:4" x14ac:dyDescent="0.3">
      <c r="A25" s="7" t="s">
        <v>92</v>
      </c>
      <c r="B25" s="12">
        <v>50000</v>
      </c>
      <c r="C25" s="6" t="s">
        <v>93</v>
      </c>
    </row>
    <row r="26" spans="1:4" x14ac:dyDescent="0.3">
      <c r="A26" s="7" t="s">
        <v>94</v>
      </c>
      <c r="B26" s="14">
        <v>0.02</v>
      </c>
      <c r="C26" s="6" t="s">
        <v>95</v>
      </c>
    </row>
    <row r="27" spans="1:4" x14ac:dyDescent="0.3">
      <c r="A27" s="7" t="s">
        <v>96</v>
      </c>
      <c r="B27" s="15">
        <v>1.35</v>
      </c>
      <c r="C27" s="6" t="s">
        <v>97</v>
      </c>
    </row>
    <row r="28" spans="1:4" x14ac:dyDescent="0.3">
      <c r="A28" s="7" t="s">
        <v>98</v>
      </c>
      <c r="B28" s="12">
        <v>100</v>
      </c>
      <c r="C28" s="6" t="s">
        <v>99</v>
      </c>
    </row>
    <row r="29" spans="1:4" x14ac:dyDescent="0.3">
      <c r="A29" s="7" t="s">
        <v>100</v>
      </c>
      <c r="B29" s="16">
        <v>46351</v>
      </c>
      <c r="C29" s="6" t="s">
        <v>101</v>
      </c>
    </row>
    <row r="31" spans="1:4" x14ac:dyDescent="0.3">
      <c r="A31" s="3" t="s">
        <v>167</v>
      </c>
      <c r="B31" s="4"/>
      <c r="C31" s="4"/>
      <c r="D31" s="4"/>
    </row>
    <row r="32" spans="1:4" x14ac:dyDescent="0.3">
      <c r="A32" s="7" t="s">
        <v>103</v>
      </c>
      <c r="B32" s="17">
        <f>ROUND($B$21/$B$22,2)</f>
        <v>6250</v>
      </c>
      <c r="C32" s="6" t="s">
        <v>104</v>
      </c>
      <c r="D32" s="18" t="str">
        <f>"₱"&amp;TEXT($B$21,"#,##0.00")&amp;" ÷ "&amp;$B$22&amp;" = "&amp;"₱"&amp;TEXT(B32,"#,##0.00")</f>
        <v>₱300,000.00 ÷ 48 = ₱6,250.00</v>
      </c>
    </row>
    <row r="33" spans="1:4" x14ac:dyDescent="0.3">
      <c r="A33" s="7" t="s">
        <v>105</v>
      </c>
      <c r="B33" s="17">
        <f>ROUND($B$21*$B$23,2)</f>
        <v>2490</v>
      </c>
      <c r="C33" s="6" t="s">
        <v>106</v>
      </c>
      <c r="D33" s="18" t="str">
        <f>"₱"&amp;TEXT($B$21,"#,##0.00")&amp;" × "&amp;TEXT($B$23,"0.00%")&amp;" = "&amp;"₱"&amp;TEXT(B33,"#,##0.00")</f>
        <v>₱300,000.00 × 0.83% = ₱2,490.00</v>
      </c>
    </row>
    <row r="34" spans="1:4" x14ac:dyDescent="0.3">
      <c r="A34" s="5" t="s">
        <v>107</v>
      </c>
      <c r="B34" s="19">
        <f>$B$32+$B$33</f>
        <v>8740</v>
      </c>
      <c r="C34" s="6" t="s">
        <v>108</v>
      </c>
      <c r="D34" s="18" t="str">
        <f>"₱"&amp;TEXT($B$32,"#,##0.00")&amp;" + "&amp;"₱"&amp;TEXT($B$33,"#,##0.00")&amp;" = "&amp;"₱"&amp;TEXT(B34,"#,##0.00")</f>
        <v>₱6,250.00 + ₱2,490.00 = ₱8,740.00</v>
      </c>
    </row>
    <row r="35" spans="1:4" x14ac:dyDescent="0.3">
      <c r="A35" s="7" t="s">
        <v>109</v>
      </c>
      <c r="B35" s="17">
        <f>ROUND($B$21*$B$23*$B$22,2)</f>
        <v>119520</v>
      </c>
      <c r="C35" s="6" t="s">
        <v>33</v>
      </c>
      <c r="D35" s="18" t="str">
        <f>"₱"&amp;TEXT($B$21,"#,##0.00")&amp;" × "&amp;TEXT($B$23,"0.00%")&amp;" × "&amp;$B$22&amp;" = "&amp;"₱"&amp;TEXT(B35,"#,##0.00")</f>
        <v>₱300,000.00 × 0.83% × 48 = ₱119,520.00</v>
      </c>
    </row>
    <row r="36" spans="1:4" x14ac:dyDescent="0.3">
      <c r="A36" s="7" t="s">
        <v>110</v>
      </c>
      <c r="B36" s="17">
        <f>$B$21+$B$35</f>
        <v>419520</v>
      </c>
      <c r="C36" s="6" t="s">
        <v>111</v>
      </c>
      <c r="D36" s="18" t="str">
        <f>"₱"&amp;TEXT($B$21,"#,##0.00")&amp;" + "&amp;"₱"&amp;TEXT($B$35,"#,##0.00")&amp;" = "&amp;"₱"&amp;TEXT(B36,"#,##0.00")</f>
        <v>₱300,000.00 + ₱119,520.00 = ₱419,520.00</v>
      </c>
    </row>
    <row r="38" spans="1:4" x14ac:dyDescent="0.3">
      <c r="A38" s="3" t="s">
        <v>168</v>
      </c>
      <c r="B38" s="4"/>
      <c r="C38" s="4"/>
      <c r="D38" s="4"/>
    </row>
    <row r="39" spans="1:4" ht="26.4" x14ac:dyDescent="0.3">
      <c r="A39" s="7" t="s">
        <v>113</v>
      </c>
      <c r="B39" s="20">
        <f>INT((INT($B$21)-1)/$B$25)+1</f>
        <v>6</v>
      </c>
      <c r="C39" s="6" t="s">
        <v>114</v>
      </c>
      <c r="D39" s="18" t="str">
        <f>"INT(("&amp;TEXT($B$21,"#,##0")&amp;" - 1) ÷ "&amp;TEXT($B$25,"#,##0")&amp;") + 1 = "&amp;B39</f>
        <v>INT((300,000 - 1) ÷ 50,000) + 1 = 6</v>
      </c>
    </row>
    <row r="40" spans="1:4" x14ac:dyDescent="0.3">
      <c r="A40" s="7" t="s">
        <v>115</v>
      </c>
      <c r="B40" s="17">
        <f>$B$39*$B$24</f>
        <v>600</v>
      </c>
      <c r="C40" s="6" t="s">
        <v>116</v>
      </c>
      <c r="D40" s="18" t="str">
        <f>B39&amp;" × "&amp;"₱"&amp;TEXT($B$24,"#,##0.00")&amp;" = "&amp;"₱"&amp;TEXT(B40,"#,##0.00")</f>
        <v>6 × ₱100.00 = ₱600.00</v>
      </c>
    </row>
    <row r="41" spans="1:4" x14ac:dyDescent="0.3">
      <c r="A41" s="7" t="s">
        <v>42</v>
      </c>
      <c r="B41" s="17">
        <f>ROUND($B$21*$B$26,2)</f>
        <v>6000</v>
      </c>
      <c r="C41" s="6" t="s">
        <v>117</v>
      </c>
      <c r="D41" s="18" t="str">
        <f>"₱"&amp;TEXT($B$21,"#,##0.00")&amp;" × "&amp;TEXT($B$26,"0%")&amp;" = "&amp;"₱"&amp;TEXT(B41,"#,##0.00")</f>
        <v>₱300,000.00 × 2% = ₱6,000.00</v>
      </c>
    </row>
    <row r="42" spans="1:4" x14ac:dyDescent="0.3">
      <c r="A42" s="7" t="s">
        <v>118</v>
      </c>
      <c r="B42" s="17">
        <f>ROUND($B$21*$B$27/1000,2)</f>
        <v>405</v>
      </c>
      <c r="C42" s="6" t="s">
        <v>119</v>
      </c>
      <c r="D42" s="18" t="str">
        <f>"₱"&amp;TEXT($B$21,"#,##0.00")&amp;" × "&amp;TEXT($B$27,"0.00")&amp;" ÷ 1,000 = "&amp;"₱"&amp;TEXT(B42,"#,##0.00")</f>
        <v>₱300,000.00 × 1.35 ÷ 1,000 = ₱405.00</v>
      </c>
    </row>
    <row r="43" spans="1:4" x14ac:dyDescent="0.3">
      <c r="A43" s="7" t="s">
        <v>98</v>
      </c>
      <c r="B43" s="17">
        <f>$B$28</f>
        <v>100</v>
      </c>
      <c r="C43" s="6" t="s">
        <v>120</v>
      </c>
      <c r="D43" s="18" t="str">
        <f>"₱"&amp;TEXT(B43,"#,##0.00")</f>
        <v>₱100.00</v>
      </c>
    </row>
    <row r="44" spans="1:4" x14ac:dyDescent="0.3">
      <c r="A44" s="5" t="s">
        <v>121</v>
      </c>
      <c r="B44" s="19">
        <f>$B$40+$B$41+$B$42+$B$43</f>
        <v>7105</v>
      </c>
      <c r="C44" s="6" t="s">
        <v>122</v>
      </c>
      <c r="D44" s="18" t="str">
        <f>"₱"&amp;TEXT($B$40,"#,##0.00")&amp;" + "&amp;"₱"&amp;TEXT($B$41,"#,##0.00")&amp;" + "&amp;"₱"&amp;TEXT($B$42,"#,##0.00")&amp;" + "&amp;"₱"&amp;TEXT($B$43,"#,##0.00")&amp;" = "&amp;"₱"&amp;TEXT(B44,"#,##0.00")</f>
        <v>₱600.00 + ₱6,000.00 + ₱405.00 + ₱100.00 = ₱7,105.00</v>
      </c>
    </row>
    <row r="45" spans="1:4" x14ac:dyDescent="0.3">
      <c r="A45" s="5" t="s">
        <v>123</v>
      </c>
      <c r="B45" s="19">
        <f>$B$21-$B$44</f>
        <v>292895</v>
      </c>
      <c r="C45" s="6" t="s">
        <v>124</v>
      </c>
      <c r="D45" s="18" t="str">
        <f>"₱"&amp;TEXT($B$21,"#,##0.00")&amp;" - "&amp;"₱"&amp;TEXT($B$44,"#,##0.00")&amp;" = "&amp;"₱"&amp;TEXT(B45,"#,##0.00")</f>
        <v>₱300,000.00 - ₱7,105.00 = ₱292,895.00</v>
      </c>
    </row>
    <row r="47" spans="1:4" x14ac:dyDescent="0.3">
      <c r="A47" s="3" t="s">
        <v>169</v>
      </c>
      <c r="B47" s="4"/>
      <c r="C47" s="4"/>
      <c r="D47" s="4"/>
    </row>
    <row r="48" spans="1:4" x14ac:dyDescent="0.3">
      <c r="A48" s="7" t="s">
        <v>170</v>
      </c>
      <c r="B48" s="17">
        <f>$B$45</f>
        <v>292895</v>
      </c>
      <c r="C48" s="6"/>
    </row>
    <row r="49" spans="1:8" x14ac:dyDescent="0.3">
      <c r="A49" s="7" t="s">
        <v>171</v>
      </c>
      <c r="B49" s="17">
        <f>$B$14</f>
        <v>119920</v>
      </c>
      <c r="C49" s="6"/>
    </row>
    <row r="50" spans="1:8" x14ac:dyDescent="0.3">
      <c r="A50" s="5" t="s">
        <v>172</v>
      </c>
      <c r="B50" s="19">
        <f>MAX($B$48-$B$14,0)</f>
        <v>172975</v>
      </c>
      <c r="C50" s="6" t="s">
        <v>173</v>
      </c>
      <c r="D50" s="18" t="str">
        <f>"₱"&amp;TEXT($B$48,"#,##0.00")&amp;" - "&amp;"₱"&amp;TEXT($B$14,"#,##0.00")&amp;" = "&amp;"₱"&amp;TEXT(B50,"#,##0.00")</f>
        <v>₱292,895.00 - ₱119,920.00 = ₱172,975.00</v>
      </c>
    </row>
    <row r="51" spans="1:8" x14ac:dyDescent="0.3">
      <c r="A51" s="7" t="s">
        <v>174</v>
      </c>
      <c r="B51" s="21" t="str">
        <f>IF($B$48-$B$14&gt;0,"YES: there are net proceeds","NO: no net proceeds")</f>
        <v>YES: there are net proceeds</v>
      </c>
      <c r="C51" s="6" t="s">
        <v>175</v>
      </c>
    </row>
    <row r="54" spans="1:8" x14ac:dyDescent="0.3">
      <c r="A54" s="22" t="s">
        <v>176</v>
      </c>
    </row>
    <row r="55" spans="1:8" ht="26.4" x14ac:dyDescent="0.3">
      <c r="A55" s="11" t="s">
        <v>133</v>
      </c>
      <c r="B55" s="11" t="s">
        <v>134</v>
      </c>
      <c r="C55" s="11" t="s">
        <v>135</v>
      </c>
      <c r="D55" s="11" t="s">
        <v>136</v>
      </c>
      <c r="E55" s="11" t="s">
        <v>137</v>
      </c>
      <c r="F55" s="11" t="s">
        <v>138</v>
      </c>
      <c r="G55" s="11" t="s">
        <v>139</v>
      </c>
      <c r="H55" s="11" t="s">
        <v>140</v>
      </c>
    </row>
    <row r="56" spans="1:8" x14ac:dyDescent="0.3">
      <c r="A56" s="23">
        <f>IF(1&lt;=$B$22,1,"")</f>
        <v>1</v>
      </c>
      <c r="B56" s="24">
        <f t="shared" ref="B56:B87" si="0">IF($A56="","",EDATE($B$29,$A56-1))</f>
        <v>46351</v>
      </c>
      <c r="C56" s="17">
        <f>IF($A56="","",$B$21)</f>
        <v>300000</v>
      </c>
      <c r="D56" s="17">
        <f t="shared" ref="D56:D87" si="1">IF($A56="","",ROUND($B$21/$B$22,2))</f>
        <v>6250</v>
      </c>
      <c r="E56" s="17">
        <f t="shared" ref="E56:E87" si="2">IF($A56="","",ROUND($B$21*$B$23,2))</f>
        <v>2490</v>
      </c>
      <c r="F56" s="17">
        <f t="shared" ref="F56:F87" si="3">IF($A56="","",D56+E56)</f>
        <v>8740</v>
      </c>
      <c r="G56" s="17">
        <f t="shared" ref="G56:G87" si="4">IF($A56="","",MAX(ROUND(C56-D56,2),0))</f>
        <v>293750</v>
      </c>
      <c r="H56" s="17">
        <f>IF($A56="","",F56)</f>
        <v>8740</v>
      </c>
    </row>
    <row r="57" spans="1:8" x14ac:dyDescent="0.3">
      <c r="A57" s="23">
        <f>IF(2&lt;=$B$22,2,"")</f>
        <v>2</v>
      </c>
      <c r="B57" s="24">
        <f t="shared" si="0"/>
        <v>46381</v>
      </c>
      <c r="C57" s="17">
        <f t="shared" ref="C57:C88" si="5">IF($A57="","",G56)</f>
        <v>293750</v>
      </c>
      <c r="D57" s="17">
        <f t="shared" si="1"/>
        <v>6250</v>
      </c>
      <c r="E57" s="17">
        <f t="shared" si="2"/>
        <v>2490</v>
      </c>
      <c r="F57" s="17">
        <f t="shared" si="3"/>
        <v>8740</v>
      </c>
      <c r="G57" s="17">
        <f t="shared" si="4"/>
        <v>287500</v>
      </c>
      <c r="H57" s="17">
        <f t="shared" ref="H57:H88" si="6">IF($A57="","",F57+H56)</f>
        <v>17480</v>
      </c>
    </row>
    <row r="58" spans="1:8" x14ac:dyDescent="0.3">
      <c r="A58" s="23">
        <f>IF(3&lt;=$B$22,3,"")</f>
        <v>3</v>
      </c>
      <c r="B58" s="24">
        <f t="shared" si="0"/>
        <v>46412</v>
      </c>
      <c r="C58" s="17">
        <f t="shared" si="5"/>
        <v>287500</v>
      </c>
      <c r="D58" s="17">
        <f t="shared" si="1"/>
        <v>6250</v>
      </c>
      <c r="E58" s="17">
        <f t="shared" si="2"/>
        <v>2490</v>
      </c>
      <c r="F58" s="17">
        <f t="shared" si="3"/>
        <v>8740</v>
      </c>
      <c r="G58" s="17">
        <f t="shared" si="4"/>
        <v>281250</v>
      </c>
      <c r="H58" s="17">
        <f t="shared" si="6"/>
        <v>26220</v>
      </c>
    </row>
    <row r="59" spans="1:8" x14ac:dyDescent="0.3">
      <c r="A59" s="23">
        <f>IF(4&lt;=$B$22,4,"")</f>
        <v>4</v>
      </c>
      <c r="B59" s="24">
        <f t="shared" si="0"/>
        <v>46443</v>
      </c>
      <c r="C59" s="17">
        <f t="shared" si="5"/>
        <v>281250</v>
      </c>
      <c r="D59" s="17">
        <f t="shared" si="1"/>
        <v>6250</v>
      </c>
      <c r="E59" s="17">
        <f t="shared" si="2"/>
        <v>2490</v>
      </c>
      <c r="F59" s="17">
        <f t="shared" si="3"/>
        <v>8740</v>
      </c>
      <c r="G59" s="17">
        <f t="shared" si="4"/>
        <v>275000</v>
      </c>
      <c r="H59" s="17">
        <f t="shared" si="6"/>
        <v>34960</v>
      </c>
    </row>
    <row r="60" spans="1:8" x14ac:dyDescent="0.3">
      <c r="A60" s="23">
        <f>IF(5&lt;=$B$22,5,"")</f>
        <v>5</v>
      </c>
      <c r="B60" s="24">
        <f t="shared" si="0"/>
        <v>46471</v>
      </c>
      <c r="C60" s="17">
        <f t="shared" si="5"/>
        <v>275000</v>
      </c>
      <c r="D60" s="17">
        <f t="shared" si="1"/>
        <v>6250</v>
      </c>
      <c r="E60" s="17">
        <f t="shared" si="2"/>
        <v>2490</v>
      </c>
      <c r="F60" s="17">
        <f t="shared" si="3"/>
        <v>8740</v>
      </c>
      <c r="G60" s="17">
        <f t="shared" si="4"/>
        <v>268750</v>
      </c>
      <c r="H60" s="17">
        <f t="shared" si="6"/>
        <v>43700</v>
      </c>
    </row>
    <row r="61" spans="1:8" x14ac:dyDescent="0.3">
      <c r="A61" s="23">
        <f>IF(6&lt;=$B$22,6,"")</f>
        <v>6</v>
      </c>
      <c r="B61" s="24">
        <f t="shared" si="0"/>
        <v>46502</v>
      </c>
      <c r="C61" s="17">
        <f t="shared" si="5"/>
        <v>268750</v>
      </c>
      <c r="D61" s="17">
        <f t="shared" si="1"/>
        <v>6250</v>
      </c>
      <c r="E61" s="17">
        <f t="shared" si="2"/>
        <v>2490</v>
      </c>
      <c r="F61" s="17">
        <f t="shared" si="3"/>
        <v>8740</v>
      </c>
      <c r="G61" s="17">
        <f t="shared" si="4"/>
        <v>262500</v>
      </c>
      <c r="H61" s="17">
        <f t="shared" si="6"/>
        <v>52440</v>
      </c>
    </row>
    <row r="62" spans="1:8" x14ac:dyDescent="0.3">
      <c r="A62" s="23">
        <f>IF(7&lt;=$B$22,7,"")</f>
        <v>7</v>
      </c>
      <c r="B62" s="24">
        <f t="shared" si="0"/>
        <v>46532</v>
      </c>
      <c r="C62" s="17">
        <f t="shared" si="5"/>
        <v>262500</v>
      </c>
      <c r="D62" s="17">
        <f t="shared" si="1"/>
        <v>6250</v>
      </c>
      <c r="E62" s="17">
        <f t="shared" si="2"/>
        <v>2490</v>
      </c>
      <c r="F62" s="17">
        <f t="shared" si="3"/>
        <v>8740</v>
      </c>
      <c r="G62" s="17">
        <f t="shared" si="4"/>
        <v>256250</v>
      </c>
      <c r="H62" s="17">
        <f t="shared" si="6"/>
        <v>61180</v>
      </c>
    </row>
    <row r="63" spans="1:8" x14ac:dyDescent="0.3">
      <c r="A63" s="23">
        <f>IF(8&lt;=$B$22,8,"")</f>
        <v>8</v>
      </c>
      <c r="B63" s="24">
        <f t="shared" si="0"/>
        <v>46563</v>
      </c>
      <c r="C63" s="17">
        <f t="shared" si="5"/>
        <v>256250</v>
      </c>
      <c r="D63" s="17">
        <f t="shared" si="1"/>
        <v>6250</v>
      </c>
      <c r="E63" s="17">
        <f t="shared" si="2"/>
        <v>2490</v>
      </c>
      <c r="F63" s="17">
        <f t="shared" si="3"/>
        <v>8740</v>
      </c>
      <c r="G63" s="17">
        <f t="shared" si="4"/>
        <v>250000</v>
      </c>
      <c r="H63" s="17">
        <f t="shared" si="6"/>
        <v>69920</v>
      </c>
    </row>
    <row r="64" spans="1:8" x14ac:dyDescent="0.3">
      <c r="A64" s="23">
        <f>IF(9&lt;=$B$22,9,"")</f>
        <v>9</v>
      </c>
      <c r="B64" s="24">
        <f t="shared" si="0"/>
        <v>46593</v>
      </c>
      <c r="C64" s="17">
        <f t="shared" si="5"/>
        <v>250000</v>
      </c>
      <c r="D64" s="17">
        <f t="shared" si="1"/>
        <v>6250</v>
      </c>
      <c r="E64" s="17">
        <f t="shared" si="2"/>
        <v>2490</v>
      </c>
      <c r="F64" s="17">
        <f t="shared" si="3"/>
        <v>8740</v>
      </c>
      <c r="G64" s="17">
        <f t="shared" si="4"/>
        <v>243750</v>
      </c>
      <c r="H64" s="17">
        <f t="shared" si="6"/>
        <v>78660</v>
      </c>
    </row>
    <row r="65" spans="1:8" x14ac:dyDescent="0.3">
      <c r="A65" s="23">
        <f>IF(10&lt;=$B$22,10,"")</f>
        <v>10</v>
      </c>
      <c r="B65" s="24">
        <f t="shared" si="0"/>
        <v>46624</v>
      </c>
      <c r="C65" s="17">
        <f t="shared" si="5"/>
        <v>243750</v>
      </c>
      <c r="D65" s="17">
        <f t="shared" si="1"/>
        <v>6250</v>
      </c>
      <c r="E65" s="17">
        <f t="shared" si="2"/>
        <v>2490</v>
      </c>
      <c r="F65" s="17">
        <f t="shared" si="3"/>
        <v>8740</v>
      </c>
      <c r="G65" s="17">
        <f t="shared" si="4"/>
        <v>237500</v>
      </c>
      <c r="H65" s="17">
        <f t="shared" si="6"/>
        <v>87400</v>
      </c>
    </row>
    <row r="66" spans="1:8" x14ac:dyDescent="0.3">
      <c r="A66" s="23">
        <f>IF(11&lt;=$B$22,11,"")</f>
        <v>11</v>
      </c>
      <c r="B66" s="24">
        <f t="shared" si="0"/>
        <v>46655</v>
      </c>
      <c r="C66" s="17">
        <f t="shared" si="5"/>
        <v>237500</v>
      </c>
      <c r="D66" s="17">
        <f t="shared" si="1"/>
        <v>6250</v>
      </c>
      <c r="E66" s="17">
        <f t="shared" si="2"/>
        <v>2490</v>
      </c>
      <c r="F66" s="17">
        <f t="shared" si="3"/>
        <v>8740</v>
      </c>
      <c r="G66" s="17">
        <f t="shared" si="4"/>
        <v>231250</v>
      </c>
      <c r="H66" s="17">
        <f t="shared" si="6"/>
        <v>96140</v>
      </c>
    </row>
    <row r="67" spans="1:8" x14ac:dyDescent="0.3">
      <c r="A67" s="23">
        <f>IF(12&lt;=$B$22,12,"")</f>
        <v>12</v>
      </c>
      <c r="B67" s="24">
        <f t="shared" si="0"/>
        <v>46685</v>
      </c>
      <c r="C67" s="17">
        <f t="shared" si="5"/>
        <v>231250</v>
      </c>
      <c r="D67" s="17">
        <f t="shared" si="1"/>
        <v>6250</v>
      </c>
      <c r="E67" s="17">
        <f t="shared" si="2"/>
        <v>2490</v>
      </c>
      <c r="F67" s="17">
        <f t="shared" si="3"/>
        <v>8740</v>
      </c>
      <c r="G67" s="17">
        <f t="shared" si="4"/>
        <v>225000</v>
      </c>
      <c r="H67" s="17">
        <f t="shared" si="6"/>
        <v>104880</v>
      </c>
    </row>
    <row r="68" spans="1:8" x14ac:dyDescent="0.3">
      <c r="A68" s="23">
        <f>IF(13&lt;=$B$22,13,"")</f>
        <v>13</v>
      </c>
      <c r="B68" s="24">
        <f t="shared" si="0"/>
        <v>46716</v>
      </c>
      <c r="C68" s="17">
        <f t="shared" si="5"/>
        <v>225000</v>
      </c>
      <c r="D68" s="17">
        <f t="shared" si="1"/>
        <v>6250</v>
      </c>
      <c r="E68" s="17">
        <f t="shared" si="2"/>
        <v>2490</v>
      </c>
      <c r="F68" s="17">
        <f t="shared" si="3"/>
        <v>8740</v>
      </c>
      <c r="G68" s="17">
        <f t="shared" si="4"/>
        <v>218750</v>
      </c>
      <c r="H68" s="17">
        <f t="shared" si="6"/>
        <v>113620</v>
      </c>
    </row>
    <row r="69" spans="1:8" x14ac:dyDescent="0.3">
      <c r="A69" s="23">
        <f>IF(14&lt;=$B$22,14,"")</f>
        <v>14</v>
      </c>
      <c r="B69" s="24">
        <f t="shared" si="0"/>
        <v>46746</v>
      </c>
      <c r="C69" s="17">
        <f t="shared" si="5"/>
        <v>218750</v>
      </c>
      <c r="D69" s="17">
        <f t="shared" si="1"/>
        <v>6250</v>
      </c>
      <c r="E69" s="17">
        <f t="shared" si="2"/>
        <v>2490</v>
      </c>
      <c r="F69" s="17">
        <f t="shared" si="3"/>
        <v>8740</v>
      </c>
      <c r="G69" s="17">
        <f t="shared" si="4"/>
        <v>212500</v>
      </c>
      <c r="H69" s="17">
        <f t="shared" si="6"/>
        <v>122360</v>
      </c>
    </row>
    <row r="70" spans="1:8" x14ac:dyDescent="0.3">
      <c r="A70" s="23">
        <f>IF(15&lt;=$B$22,15,"")</f>
        <v>15</v>
      </c>
      <c r="B70" s="24">
        <f t="shared" si="0"/>
        <v>46777</v>
      </c>
      <c r="C70" s="17">
        <f t="shared" si="5"/>
        <v>212500</v>
      </c>
      <c r="D70" s="17">
        <f t="shared" si="1"/>
        <v>6250</v>
      </c>
      <c r="E70" s="17">
        <f t="shared" si="2"/>
        <v>2490</v>
      </c>
      <c r="F70" s="17">
        <f t="shared" si="3"/>
        <v>8740</v>
      </c>
      <c r="G70" s="17">
        <f t="shared" si="4"/>
        <v>206250</v>
      </c>
      <c r="H70" s="17">
        <f t="shared" si="6"/>
        <v>131100</v>
      </c>
    </row>
    <row r="71" spans="1:8" x14ac:dyDescent="0.3">
      <c r="A71" s="23">
        <f>IF(16&lt;=$B$22,16,"")</f>
        <v>16</v>
      </c>
      <c r="B71" s="24">
        <f t="shared" si="0"/>
        <v>46808</v>
      </c>
      <c r="C71" s="17">
        <f t="shared" si="5"/>
        <v>206250</v>
      </c>
      <c r="D71" s="17">
        <f t="shared" si="1"/>
        <v>6250</v>
      </c>
      <c r="E71" s="17">
        <f t="shared" si="2"/>
        <v>2490</v>
      </c>
      <c r="F71" s="17">
        <f t="shared" si="3"/>
        <v>8740</v>
      </c>
      <c r="G71" s="17">
        <f t="shared" si="4"/>
        <v>200000</v>
      </c>
      <c r="H71" s="17">
        <f t="shared" si="6"/>
        <v>139840</v>
      </c>
    </row>
    <row r="72" spans="1:8" x14ac:dyDescent="0.3">
      <c r="A72" s="23">
        <f>IF(17&lt;=$B$22,17,"")</f>
        <v>17</v>
      </c>
      <c r="B72" s="24">
        <f t="shared" si="0"/>
        <v>46837</v>
      </c>
      <c r="C72" s="17">
        <f t="shared" si="5"/>
        <v>200000</v>
      </c>
      <c r="D72" s="17">
        <f t="shared" si="1"/>
        <v>6250</v>
      </c>
      <c r="E72" s="17">
        <f t="shared" si="2"/>
        <v>2490</v>
      </c>
      <c r="F72" s="17">
        <f t="shared" si="3"/>
        <v>8740</v>
      </c>
      <c r="G72" s="17">
        <f t="shared" si="4"/>
        <v>193750</v>
      </c>
      <c r="H72" s="17">
        <f t="shared" si="6"/>
        <v>148580</v>
      </c>
    </row>
    <row r="73" spans="1:8" x14ac:dyDescent="0.3">
      <c r="A73" s="23">
        <f>IF(18&lt;=$B$22,18,"")</f>
        <v>18</v>
      </c>
      <c r="B73" s="24">
        <f t="shared" si="0"/>
        <v>46868</v>
      </c>
      <c r="C73" s="17">
        <f t="shared" si="5"/>
        <v>193750</v>
      </c>
      <c r="D73" s="17">
        <f t="shared" si="1"/>
        <v>6250</v>
      </c>
      <c r="E73" s="17">
        <f t="shared" si="2"/>
        <v>2490</v>
      </c>
      <c r="F73" s="17">
        <f t="shared" si="3"/>
        <v>8740</v>
      </c>
      <c r="G73" s="17">
        <f t="shared" si="4"/>
        <v>187500</v>
      </c>
      <c r="H73" s="17">
        <f t="shared" si="6"/>
        <v>157320</v>
      </c>
    </row>
    <row r="74" spans="1:8" x14ac:dyDescent="0.3">
      <c r="A74" s="23">
        <f>IF(19&lt;=$B$22,19,"")</f>
        <v>19</v>
      </c>
      <c r="B74" s="24">
        <f t="shared" si="0"/>
        <v>46898</v>
      </c>
      <c r="C74" s="17">
        <f t="shared" si="5"/>
        <v>187500</v>
      </c>
      <c r="D74" s="17">
        <f t="shared" si="1"/>
        <v>6250</v>
      </c>
      <c r="E74" s="17">
        <f t="shared" si="2"/>
        <v>2490</v>
      </c>
      <c r="F74" s="17">
        <f t="shared" si="3"/>
        <v>8740</v>
      </c>
      <c r="G74" s="17">
        <f t="shared" si="4"/>
        <v>181250</v>
      </c>
      <c r="H74" s="17">
        <f t="shared" si="6"/>
        <v>166060</v>
      </c>
    </row>
    <row r="75" spans="1:8" x14ac:dyDescent="0.3">
      <c r="A75" s="23">
        <f>IF(20&lt;=$B$22,20,"")</f>
        <v>20</v>
      </c>
      <c r="B75" s="24">
        <f t="shared" si="0"/>
        <v>46929</v>
      </c>
      <c r="C75" s="17">
        <f t="shared" si="5"/>
        <v>181250</v>
      </c>
      <c r="D75" s="17">
        <f t="shared" si="1"/>
        <v>6250</v>
      </c>
      <c r="E75" s="17">
        <f t="shared" si="2"/>
        <v>2490</v>
      </c>
      <c r="F75" s="17">
        <f t="shared" si="3"/>
        <v>8740</v>
      </c>
      <c r="G75" s="17">
        <f t="shared" si="4"/>
        <v>175000</v>
      </c>
      <c r="H75" s="17">
        <f t="shared" si="6"/>
        <v>174800</v>
      </c>
    </row>
    <row r="76" spans="1:8" x14ac:dyDescent="0.3">
      <c r="A76" s="23">
        <f>IF(21&lt;=$B$22,21,"")</f>
        <v>21</v>
      </c>
      <c r="B76" s="24">
        <f t="shared" si="0"/>
        <v>46959</v>
      </c>
      <c r="C76" s="17">
        <f t="shared" si="5"/>
        <v>175000</v>
      </c>
      <c r="D76" s="17">
        <f t="shared" si="1"/>
        <v>6250</v>
      </c>
      <c r="E76" s="17">
        <f t="shared" si="2"/>
        <v>2490</v>
      </c>
      <c r="F76" s="17">
        <f t="shared" si="3"/>
        <v>8740</v>
      </c>
      <c r="G76" s="17">
        <f t="shared" si="4"/>
        <v>168750</v>
      </c>
      <c r="H76" s="17">
        <f t="shared" si="6"/>
        <v>183540</v>
      </c>
    </row>
    <row r="77" spans="1:8" x14ac:dyDescent="0.3">
      <c r="A77" s="23">
        <f>IF(22&lt;=$B$22,22,"")</f>
        <v>22</v>
      </c>
      <c r="B77" s="24">
        <f t="shared" si="0"/>
        <v>46990</v>
      </c>
      <c r="C77" s="17">
        <f t="shared" si="5"/>
        <v>168750</v>
      </c>
      <c r="D77" s="17">
        <f t="shared" si="1"/>
        <v>6250</v>
      </c>
      <c r="E77" s="17">
        <f t="shared" si="2"/>
        <v>2490</v>
      </c>
      <c r="F77" s="17">
        <f t="shared" si="3"/>
        <v>8740</v>
      </c>
      <c r="G77" s="17">
        <f t="shared" si="4"/>
        <v>162500</v>
      </c>
      <c r="H77" s="17">
        <f t="shared" si="6"/>
        <v>192280</v>
      </c>
    </row>
    <row r="78" spans="1:8" x14ac:dyDescent="0.3">
      <c r="A78" s="23">
        <f>IF(23&lt;=$B$22,23,"")</f>
        <v>23</v>
      </c>
      <c r="B78" s="24">
        <f t="shared" si="0"/>
        <v>47021</v>
      </c>
      <c r="C78" s="17">
        <f t="shared" si="5"/>
        <v>162500</v>
      </c>
      <c r="D78" s="17">
        <f t="shared" si="1"/>
        <v>6250</v>
      </c>
      <c r="E78" s="17">
        <f t="shared" si="2"/>
        <v>2490</v>
      </c>
      <c r="F78" s="17">
        <f t="shared" si="3"/>
        <v>8740</v>
      </c>
      <c r="G78" s="17">
        <f t="shared" si="4"/>
        <v>156250</v>
      </c>
      <c r="H78" s="17">
        <f t="shared" si="6"/>
        <v>201020</v>
      </c>
    </row>
    <row r="79" spans="1:8" x14ac:dyDescent="0.3">
      <c r="A79" s="23">
        <f>IF(24&lt;=$B$22,24,"")</f>
        <v>24</v>
      </c>
      <c r="B79" s="24">
        <f t="shared" si="0"/>
        <v>47051</v>
      </c>
      <c r="C79" s="17">
        <f t="shared" si="5"/>
        <v>156250</v>
      </c>
      <c r="D79" s="17">
        <f t="shared" si="1"/>
        <v>6250</v>
      </c>
      <c r="E79" s="17">
        <f t="shared" si="2"/>
        <v>2490</v>
      </c>
      <c r="F79" s="17">
        <f t="shared" si="3"/>
        <v>8740</v>
      </c>
      <c r="G79" s="17">
        <f t="shared" si="4"/>
        <v>150000</v>
      </c>
      <c r="H79" s="17">
        <f t="shared" si="6"/>
        <v>209760</v>
      </c>
    </row>
    <row r="80" spans="1:8" x14ac:dyDescent="0.3">
      <c r="A80" s="23">
        <f>IF(25&lt;=$B$22,25,"")</f>
        <v>25</v>
      </c>
      <c r="B80" s="24">
        <f t="shared" si="0"/>
        <v>47082</v>
      </c>
      <c r="C80" s="17">
        <f t="shared" si="5"/>
        <v>150000</v>
      </c>
      <c r="D80" s="17">
        <f t="shared" si="1"/>
        <v>6250</v>
      </c>
      <c r="E80" s="17">
        <f t="shared" si="2"/>
        <v>2490</v>
      </c>
      <c r="F80" s="17">
        <f t="shared" si="3"/>
        <v>8740</v>
      </c>
      <c r="G80" s="17">
        <f t="shared" si="4"/>
        <v>143750</v>
      </c>
      <c r="H80" s="17">
        <f t="shared" si="6"/>
        <v>218500</v>
      </c>
    </row>
    <row r="81" spans="1:8" x14ac:dyDescent="0.3">
      <c r="A81" s="23">
        <f>IF(26&lt;=$B$22,26,"")</f>
        <v>26</v>
      </c>
      <c r="B81" s="24">
        <f t="shared" si="0"/>
        <v>47112</v>
      </c>
      <c r="C81" s="17">
        <f t="shared" si="5"/>
        <v>143750</v>
      </c>
      <c r="D81" s="17">
        <f t="shared" si="1"/>
        <v>6250</v>
      </c>
      <c r="E81" s="17">
        <f t="shared" si="2"/>
        <v>2490</v>
      </c>
      <c r="F81" s="17">
        <f t="shared" si="3"/>
        <v>8740</v>
      </c>
      <c r="G81" s="17">
        <f t="shared" si="4"/>
        <v>137500</v>
      </c>
      <c r="H81" s="17">
        <f t="shared" si="6"/>
        <v>227240</v>
      </c>
    </row>
    <row r="82" spans="1:8" x14ac:dyDescent="0.3">
      <c r="A82" s="23">
        <f>IF(27&lt;=$B$22,27,"")</f>
        <v>27</v>
      </c>
      <c r="B82" s="24">
        <f t="shared" si="0"/>
        <v>47143</v>
      </c>
      <c r="C82" s="17">
        <f t="shared" si="5"/>
        <v>137500</v>
      </c>
      <c r="D82" s="17">
        <f t="shared" si="1"/>
        <v>6250</v>
      </c>
      <c r="E82" s="17">
        <f t="shared" si="2"/>
        <v>2490</v>
      </c>
      <c r="F82" s="17">
        <f t="shared" si="3"/>
        <v>8740</v>
      </c>
      <c r="G82" s="17">
        <f t="shared" si="4"/>
        <v>131250</v>
      </c>
      <c r="H82" s="17">
        <f t="shared" si="6"/>
        <v>235980</v>
      </c>
    </row>
    <row r="83" spans="1:8" x14ac:dyDescent="0.3">
      <c r="A83" s="23">
        <f>IF(28&lt;=$B$22,28,"")</f>
        <v>28</v>
      </c>
      <c r="B83" s="24">
        <f t="shared" si="0"/>
        <v>47174</v>
      </c>
      <c r="C83" s="17">
        <f t="shared" si="5"/>
        <v>131250</v>
      </c>
      <c r="D83" s="17">
        <f t="shared" si="1"/>
        <v>6250</v>
      </c>
      <c r="E83" s="17">
        <f t="shared" si="2"/>
        <v>2490</v>
      </c>
      <c r="F83" s="17">
        <f t="shared" si="3"/>
        <v>8740</v>
      </c>
      <c r="G83" s="17">
        <f t="shared" si="4"/>
        <v>125000</v>
      </c>
      <c r="H83" s="17">
        <f t="shared" si="6"/>
        <v>244720</v>
      </c>
    </row>
    <row r="84" spans="1:8" x14ac:dyDescent="0.3">
      <c r="A84" s="23">
        <f>IF(29&lt;=$B$22,29,"")</f>
        <v>29</v>
      </c>
      <c r="B84" s="24">
        <f t="shared" si="0"/>
        <v>47202</v>
      </c>
      <c r="C84" s="17">
        <f t="shared" si="5"/>
        <v>125000</v>
      </c>
      <c r="D84" s="17">
        <f t="shared" si="1"/>
        <v>6250</v>
      </c>
      <c r="E84" s="17">
        <f t="shared" si="2"/>
        <v>2490</v>
      </c>
      <c r="F84" s="17">
        <f t="shared" si="3"/>
        <v>8740</v>
      </c>
      <c r="G84" s="17">
        <f t="shared" si="4"/>
        <v>118750</v>
      </c>
      <c r="H84" s="17">
        <f t="shared" si="6"/>
        <v>253460</v>
      </c>
    </row>
    <row r="85" spans="1:8" x14ac:dyDescent="0.3">
      <c r="A85" s="23">
        <f>IF(30&lt;=$B$22,30,"")</f>
        <v>30</v>
      </c>
      <c r="B85" s="24">
        <f t="shared" si="0"/>
        <v>47233</v>
      </c>
      <c r="C85" s="17">
        <f t="shared" si="5"/>
        <v>118750</v>
      </c>
      <c r="D85" s="17">
        <f t="shared" si="1"/>
        <v>6250</v>
      </c>
      <c r="E85" s="17">
        <f t="shared" si="2"/>
        <v>2490</v>
      </c>
      <c r="F85" s="17">
        <f t="shared" si="3"/>
        <v>8740</v>
      </c>
      <c r="G85" s="17">
        <f t="shared" si="4"/>
        <v>112500</v>
      </c>
      <c r="H85" s="17">
        <f t="shared" si="6"/>
        <v>262200</v>
      </c>
    </row>
    <row r="86" spans="1:8" x14ac:dyDescent="0.3">
      <c r="A86" s="23">
        <f>IF(31&lt;=$B$22,31,"")</f>
        <v>31</v>
      </c>
      <c r="B86" s="24">
        <f t="shared" si="0"/>
        <v>47263</v>
      </c>
      <c r="C86" s="17">
        <f t="shared" si="5"/>
        <v>112500</v>
      </c>
      <c r="D86" s="17">
        <f t="shared" si="1"/>
        <v>6250</v>
      </c>
      <c r="E86" s="17">
        <f t="shared" si="2"/>
        <v>2490</v>
      </c>
      <c r="F86" s="17">
        <f t="shared" si="3"/>
        <v>8740</v>
      </c>
      <c r="G86" s="17">
        <f t="shared" si="4"/>
        <v>106250</v>
      </c>
      <c r="H86" s="17">
        <f t="shared" si="6"/>
        <v>270940</v>
      </c>
    </row>
    <row r="87" spans="1:8" x14ac:dyDescent="0.3">
      <c r="A87" s="23">
        <f>IF(32&lt;=$B$22,32,"")</f>
        <v>32</v>
      </c>
      <c r="B87" s="24">
        <f t="shared" si="0"/>
        <v>47294</v>
      </c>
      <c r="C87" s="17">
        <f t="shared" si="5"/>
        <v>106250</v>
      </c>
      <c r="D87" s="17">
        <f t="shared" si="1"/>
        <v>6250</v>
      </c>
      <c r="E87" s="17">
        <f t="shared" si="2"/>
        <v>2490</v>
      </c>
      <c r="F87" s="17">
        <f t="shared" si="3"/>
        <v>8740</v>
      </c>
      <c r="G87" s="17">
        <f t="shared" si="4"/>
        <v>100000</v>
      </c>
      <c r="H87" s="17">
        <f t="shared" si="6"/>
        <v>279680</v>
      </c>
    </row>
    <row r="88" spans="1:8" x14ac:dyDescent="0.3">
      <c r="A88" s="23">
        <f>IF(33&lt;=$B$22,33,"")</f>
        <v>33</v>
      </c>
      <c r="B88" s="24">
        <f t="shared" ref="B88:B115" si="7">IF($A88="","",EDATE($B$29,$A88-1))</f>
        <v>47324</v>
      </c>
      <c r="C88" s="17">
        <f t="shared" si="5"/>
        <v>100000</v>
      </c>
      <c r="D88" s="17">
        <f t="shared" ref="D88:D115" si="8">IF($A88="","",ROUND($B$21/$B$22,2))</f>
        <v>6250</v>
      </c>
      <c r="E88" s="17">
        <f t="shared" ref="E88:E115" si="9">IF($A88="","",ROUND($B$21*$B$23,2))</f>
        <v>2490</v>
      </c>
      <c r="F88" s="17">
        <f t="shared" ref="F88:F119" si="10">IF($A88="","",D88+E88)</f>
        <v>8740</v>
      </c>
      <c r="G88" s="17">
        <f t="shared" ref="G88:G115" si="11">IF($A88="","",MAX(ROUND(C88-D88,2),0))</f>
        <v>93750</v>
      </c>
      <c r="H88" s="17">
        <f t="shared" si="6"/>
        <v>288420</v>
      </c>
    </row>
    <row r="89" spans="1:8" x14ac:dyDescent="0.3">
      <c r="A89" s="23">
        <f>IF(34&lt;=$B$22,34,"")</f>
        <v>34</v>
      </c>
      <c r="B89" s="24">
        <f t="shared" si="7"/>
        <v>47355</v>
      </c>
      <c r="C89" s="17">
        <f t="shared" ref="C89:C115" si="12">IF($A89="","",G88)</f>
        <v>93750</v>
      </c>
      <c r="D89" s="17">
        <f t="shared" si="8"/>
        <v>6250</v>
      </c>
      <c r="E89" s="17">
        <f t="shared" si="9"/>
        <v>2490</v>
      </c>
      <c r="F89" s="17">
        <f t="shared" si="10"/>
        <v>8740</v>
      </c>
      <c r="G89" s="17">
        <f t="shared" si="11"/>
        <v>87500</v>
      </c>
      <c r="H89" s="17">
        <f t="shared" ref="H89:H115" si="13">IF($A89="","",F89+H88)</f>
        <v>297160</v>
      </c>
    </row>
    <row r="90" spans="1:8" x14ac:dyDescent="0.3">
      <c r="A90" s="23">
        <f>IF(35&lt;=$B$22,35,"")</f>
        <v>35</v>
      </c>
      <c r="B90" s="24">
        <f t="shared" si="7"/>
        <v>47386</v>
      </c>
      <c r="C90" s="17">
        <f t="shared" si="12"/>
        <v>87500</v>
      </c>
      <c r="D90" s="17">
        <f t="shared" si="8"/>
        <v>6250</v>
      </c>
      <c r="E90" s="17">
        <f t="shared" si="9"/>
        <v>2490</v>
      </c>
      <c r="F90" s="17">
        <f t="shared" si="10"/>
        <v>8740</v>
      </c>
      <c r="G90" s="17">
        <f t="shared" si="11"/>
        <v>81250</v>
      </c>
      <c r="H90" s="17">
        <f t="shared" si="13"/>
        <v>305900</v>
      </c>
    </row>
    <row r="91" spans="1:8" x14ac:dyDescent="0.3">
      <c r="A91" s="23">
        <f>IF(36&lt;=$B$22,36,"")</f>
        <v>36</v>
      </c>
      <c r="B91" s="24">
        <f t="shared" si="7"/>
        <v>47416</v>
      </c>
      <c r="C91" s="17">
        <f t="shared" si="12"/>
        <v>81250</v>
      </c>
      <c r="D91" s="17">
        <f t="shared" si="8"/>
        <v>6250</v>
      </c>
      <c r="E91" s="17">
        <f t="shared" si="9"/>
        <v>2490</v>
      </c>
      <c r="F91" s="17">
        <f t="shared" si="10"/>
        <v>8740</v>
      </c>
      <c r="G91" s="17">
        <f t="shared" si="11"/>
        <v>75000</v>
      </c>
      <c r="H91" s="17">
        <f t="shared" si="13"/>
        <v>314640</v>
      </c>
    </row>
    <row r="92" spans="1:8" x14ac:dyDescent="0.3">
      <c r="A92" s="23">
        <f>IF(37&lt;=$B$22,37,"")</f>
        <v>37</v>
      </c>
      <c r="B92" s="24">
        <f t="shared" si="7"/>
        <v>47447</v>
      </c>
      <c r="C92" s="17">
        <f t="shared" si="12"/>
        <v>75000</v>
      </c>
      <c r="D92" s="17">
        <f t="shared" si="8"/>
        <v>6250</v>
      </c>
      <c r="E92" s="17">
        <f t="shared" si="9"/>
        <v>2490</v>
      </c>
      <c r="F92" s="17">
        <f t="shared" si="10"/>
        <v>8740</v>
      </c>
      <c r="G92" s="17">
        <f t="shared" si="11"/>
        <v>68750</v>
      </c>
      <c r="H92" s="17">
        <f t="shared" si="13"/>
        <v>323380</v>
      </c>
    </row>
    <row r="93" spans="1:8" x14ac:dyDescent="0.3">
      <c r="A93" s="23">
        <f>IF(38&lt;=$B$22,38,"")</f>
        <v>38</v>
      </c>
      <c r="B93" s="24">
        <f t="shared" si="7"/>
        <v>47477</v>
      </c>
      <c r="C93" s="17">
        <f t="shared" si="12"/>
        <v>68750</v>
      </c>
      <c r="D93" s="17">
        <f t="shared" si="8"/>
        <v>6250</v>
      </c>
      <c r="E93" s="17">
        <f t="shared" si="9"/>
        <v>2490</v>
      </c>
      <c r="F93" s="17">
        <f t="shared" si="10"/>
        <v>8740</v>
      </c>
      <c r="G93" s="17">
        <f t="shared" si="11"/>
        <v>62500</v>
      </c>
      <c r="H93" s="17">
        <f t="shared" si="13"/>
        <v>332120</v>
      </c>
    </row>
    <row r="94" spans="1:8" x14ac:dyDescent="0.3">
      <c r="A94" s="23">
        <f>IF(39&lt;=$B$22,39,"")</f>
        <v>39</v>
      </c>
      <c r="B94" s="24">
        <f t="shared" si="7"/>
        <v>47508</v>
      </c>
      <c r="C94" s="17">
        <f t="shared" si="12"/>
        <v>62500</v>
      </c>
      <c r="D94" s="17">
        <f t="shared" si="8"/>
        <v>6250</v>
      </c>
      <c r="E94" s="17">
        <f t="shared" si="9"/>
        <v>2490</v>
      </c>
      <c r="F94" s="17">
        <f t="shared" si="10"/>
        <v>8740</v>
      </c>
      <c r="G94" s="17">
        <f t="shared" si="11"/>
        <v>56250</v>
      </c>
      <c r="H94" s="17">
        <f t="shared" si="13"/>
        <v>340860</v>
      </c>
    </row>
    <row r="95" spans="1:8" x14ac:dyDescent="0.3">
      <c r="A95" s="23">
        <f>IF(40&lt;=$B$22,40,"")</f>
        <v>40</v>
      </c>
      <c r="B95" s="24">
        <f t="shared" si="7"/>
        <v>47539</v>
      </c>
      <c r="C95" s="17">
        <f t="shared" si="12"/>
        <v>56250</v>
      </c>
      <c r="D95" s="17">
        <f t="shared" si="8"/>
        <v>6250</v>
      </c>
      <c r="E95" s="17">
        <f t="shared" si="9"/>
        <v>2490</v>
      </c>
      <c r="F95" s="17">
        <f t="shared" si="10"/>
        <v>8740</v>
      </c>
      <c r="G95" s="17">
        <f t="shared" si="11"/>
        <v>50000</v>
      </c>
      <c r="H95" s="17">
        <f t="shared" si="13"/>
        <v>349600</v>
      </c>
    </row>
    <row r="96" spans="1:8" x14ac:dyDescent="0.3">
      <c r="A96" s="23">
        <f>IF(41&lt;=$B$22,41,"")</f>
        <v>41</v>
      </c>
      <c r="B96" s="24">
        <f t="shared" si="7"/>
        <v>47567</v>
      </c>
      <c r="C96" s="17">
        <f t="shared" si="12"/>
        <v>50000</v>
      </c>
      <c r="D96" s="17">
        <f t="shared" si="8"/>
        <v>6250</v>
      </c>
      <c r="E96" s="17">
        <f t="shared" si="9"/>
        <v>2490</v>
      </c>
      <c r="F96" s="17">
        <f t="shared" si="10"/>
        <v>8740</v>
      </c>
      <c r="G96" s="17">
        <f t="shared" si="11"/>
        <v>43750</v>
      </c>
      <c r="H96" s="17">
        <f t="shared" si="13"/>
        <v>358340</v>
      </c>
    </row>
    <row r="97" spans="1:8" x14ac:dyDescent="0.3">
      <c r="A97" s="23">
        <f>IF(42&lt;=$B$22,42,"")</f>
        <v>42</v>
      </c>
      <c r="B97" s="24">
        <f t="shared" si="7"/>
        <v>47598</v>
      </c>
      <c r="C97" s="17">
        <f t="shared" si="12"/>
        <v>43750</v>
      </c>
      <c r="D97" s="17">
        <f t="shared" si="8"/>
        <v>6250</v>
      </c>
      <c r="E97" s="17">
        <f t="shared" si="9"/>
        <v>2490</v>
      </c>
      <c r="F97" s="17">
        <f t="shared" si="10"/>
        <v>8740</v>
      </c>
      <c r="G97" s="17">
        <f t="shared" si="11"/>
        <v>37500</v>
      </c>
      <c r="H97" s="17">
        <f t="shared" si="13"/>
        <v>367080</v>
      </c>
    </row>
    <row r="98" spans="1:8" x14ac:dyDescent="0.3">
      <c r="A98" s="23">
        <f>IF(43&lt;=$B$22,43,"")</f>
        <v>43</v>
      </c>
      <c r="B98" s="24">
        <f t="shared" si="7"/>
        <v>47628</v>
      </c>
      <c r="C98" s="17">
        <f t="shared" si="12"/>
        <v>37500</v>
      </c>
      <c r="D98" s="17">
        <f t="shared" si="8"/>
        <v>6250</v>
      </c>
      <c r="E98" s="17">
        <f t="shared" si="9"/>
        <v>2490</v>
      </c>
      <c r="F98" s="17">
        <f t="shared" si="10"/>
        <v>8740</v>
      </c>
      <c r="G98" s="17">
        <f t="shared" si="11"/>
        <v>31250</v>
      </c>
      <c r="H98" s="17">
        <f t="shared" si="13"/>
        <v>375820</v>
      </c>
    </row>
    <row r="99" spans="1:8" x14ac:dyDescent="0.3">
      <c r="A99" s="23">
        <f>IF(44&lt;=$B$22,44,"")</f>
        <v>44</v>
      </c>
      <c r="B99" s="24">
        <f t="shared" si="7"/>
        <v>47659</v>
      </c>
      <c r="C99" s="17">
        <f t="shared" si="12"/>
        <v>31250</v>
      </c>
      <c r="D99" s="17">
        <f t="shared" si="8"/>
        <v>6250</v>
      </c>
      <c r="E99" s="17">
        <f t="shared" si="9"/>
        <v>2490</v>
      </c>
      <c r="F99" s="17">
        <f t="shared" si="10"/>
        <v>8740</v>
      </c>
      <c r="G99" s="17">
        <f t="shared" si="11"/>
        <v>25000</v>
      </c>
      <c r="H99" s="17">
        <f t="shared" si="13"/>
        <v>384560</v>
      </c>
    </row>
    <row r="100" spans="1:8" x14ac:dyDescent="0.3">
      <c r="A100" s="23">
        <f>IF(45&lt;=$B$22,45,"")</f>
        <v>45</v>
      </c>
      <c r="B100" s="24">
        <f t="shared" si="7"/>
        <v>47689</v>
      </c>
      <c r="C100" s="17">
        <f t="shared" si="12"/>
        <v>25000</v>
      </c>
      <c r="D100" s="17">
        <f t="shared" si="8"/>
        <v>6250</v>
      </c>
      <c r="E100" s="17">
        <f t="shared" si="9"/>
        <v>2490</v>
      </c>
      <c r="F100" s="17">
        <f t="shared" si="10"/>
        <v>8740</v>
      </c>
      <c r="G100" s="17">
        <f t="shared" si="11"/>
        <v>18750</v>
      </c>
      <c r="H100" s="17">
        <f t="shared" si="13"/>
        <v>393300</v>
      </c>
    </row>
    <row r="101" spans="1:8" x14ac:dyDescent="0.3">
      <c r="A101" s="23">
        <f>IF(46&lt;=$B$22,46,"")</f>
        <v>46</v>
      </c>
      <c r="B101" s="24">
        <f t="shared" si="7"/>
        <v>47720</v>
      </c>
      <c r="C101" s="17">
        <f t="shared" si="12"/>
        <v>18750</v>
      </c>
      <c r="D101" s="17">
        <f t="shared" si="8"/>
        <v>6250</v>
      </c>
      <c r="E101" s="17">
        <f t="shared" si="9"/>
        <v>2490</v>
      </c>
      <c r="F101" s="17">
        <f t="shared" si="10"/>
        <v>8740</v>
      </c>
      <c r="G101" s="17">
        <f t="shared" si="11"/>
        <v>12500</v>
      </c>
      <c r="H101" s="17">
        <f t="shared" si="13"/>
        <v>402040</v>
      </c>
    </row>
    <row r="102" spans="1:8" x14ac:dyDescent="0.3">
      <c r="A102" s="23">
        <f>IF(47&lt;=$B$22,47,"")</f>
        <v>47</v>
      </c>
      <c r="B102" s="24">
        <f t="shared" si="7"/>
        <v>47751</v>
      </c>
      <c r="C102" s="17">
        <f t="shared" si="12"/>
        <v>12500</v>
      </c>
      <c r="D102" s="17">
        <f t="shared" si="8"/>
        <v>6250</v>
      </c>
      <c r="E102" s="17">
        <f t="shared" si="9"/>
        <v>2490</v>
      </c>
      <c r="F102" s="17">
        <f t="shared" si="10"/>
        <v>8740</v>
      </c>
      <c r="G102" s="17">
        <f t="shared" si="11"/>
        <v>6250</v>
      </c>
      <c r="H102" s="17">
        <f t="shared" si="13"/>
        <v>410780</v>
      </c>
    </row>
    <row r="103" spans="1:8" x14ac:dyDescent="0.3">
      <c r="A103" s="23">
        <f>IF(48&lt;=$B$22,48,"")</f>
        <v>48</v>
      </c>
      <c r="B103" s="24">
        <f t="shared" si="7"/>
        <v>47781</v>
      </c>
      <c r="C103" s="17">
        <f t="shared" si="12"/>
        <v>6250</v>
      </c>
      <c r="D103" s="17">
        <f t="shared" si="8"/>
        <v>6250</v>
      </c>
      <c r="E103" s="17">
        <f t="shared" si="9"/>
        <v>2490</v>
      </c>
      <c r="F103" s="17">
        <f t="shared" si="10"/>
        <v>8740</v>
      </c>
      <c r="G103" s="17">
        <f t="shared" si="11"/>
        <v>0</v>
      </c>
      <c r="H103" s="17">
        <f t="shared" si="13"/>
        <v>419520</v>
      </c>
    </row>
    <row r="104" spans="1:8" x14ac:dyDescent="0.3">
      <c r="A104" s="23" t="str">
        <f>IF(49&lt;=$B$22,49,"")</f>
        <v/>
      </c>
      <c r="B104" s="24" t="str">
        <f t="shared" si="7"/>
        <v/>
      </c>
      <c r="C104" s="17" t="str">
        <f t="shared" si="12"/>
        <v/>
      </c>
      <c r="D104" s="17" t="str">
        <f t="shared" si="8"/>
        <v/>
      </c>
      <c r="E104" s="17" t="str">
        <f t="shared" si="9"/>
        <v/>
      </c>
      <c r="F104" s="17" t="str">
        <f t="shared" si="10"/>
        <v/>
      </c>
      <c r="G104" s="17" t="str">
        <f t="shared" si="11"/>
        <v/>
      </c>
      <c r="H104" s="17" t="str">
        <f t="shared" si="13"/>
        <v/>
      </c>
    </row>
    <row r="105" spans="1:8" x14ac:dyDescent="0.3">
      <c r="A105" s="23" t="str">
        <f>IF(50&lt;=$B$22,50,"")</f>
        <v/>
      </c>
      <c r="B105" s="24" t="str">
        <f t="shared" si="7"/>
        <v/>
      </c>
      <c r="C105" s="17" t="str">
        <f t="shared" si="12"/>
        <v/>
      </c>
      <c r="D105" s="17" t="str">
        <f t="shared" si="8"/>
        <v/>
      </c>
      <c r="E105" s="17" t="str">
        <f t="shared" si="9"/>
        <v/>
      </c>
      <c r="F105" s="17" t="str">
        <f t="shared" si="10"/>
        <v/>
      </c>
      <c r="G105" s="17" t="str">
        <f t="shared" si="11"/>
        <v/>
      </c>
      <c r="H105" s="17" t="str">
        <f t="shared" si="13"/>
        <v/>
      </c>
    </row>
    <row r="106" spans="1:8" x14ac:dyDescent="0.3">
      <c r="A106" s="23" t="str">
        <f>IF(51&lt;=$B$22,51,"")</f>
        <v/>
      </c>
      <c r="B106" s="24" t="str">
        <f t="shared" si="7"/>
        <v/>
      </c>
      <c r="C106" s="17" t="str">
        <f t="shared" si="12"/>
        <v/>
      </c>
      <c r="D106" s="17" t="str">
        <f t="shared" si="8"/>
        <v/>
      </c>
      <c r="E106" s="17" t="str">
        <f t="shared" si="9"/>
        <v/>
      </c>
      <c r="F106" s="17" t="str">
        <f t="shared" si="10"/>
        <v/>
      </c>
      <c r="G106" s="17" t="str">
        <f t="shared" si="11"/>
        <v/>
      </c>
      <c r="H106" s="17" t="str">
        <f t="shared" si="13"/>
        <v/>
      </c>
    </row>
    <row r="107" spans="1:8" x14ac:dyDescent="0.3">
      <c r="A107" s="23" t="str">
        <f>IF(52&lt;=$B$22,52,"")</f>
        <v/>
      </c>
      <c r="B107" s="24" t="str">
        <f t="shared" si="7"/>
        <v/>
      </c>
      <c r="C107" s="17" t="str">
        <f t="shared" si="12"/>
        <v/>
      </c>
      <c r="D107" s="17" t="str">
        <f t="shared" si="8"/>
        <v/>
      </c>
      <c r="E107" s="17" t="str">
        <f t="shared" si="9"/>
        <v/>
      </c>
      <c r="F107" s="17" t="str">
        <f t="shared" si="10"/>
        <v/>
      </c>
      <c r="G107" s="17" t="str">
        <f t="shared" si="11"/>
        <v/>
      </c>
      <c r="H107" s="17" t="str">
        <f t="shared" si="13"/>
        <v/>
      </c>
    </row>
    <row r="108" spans="1:8" x14ac:dyDescent="0.3">
      <c r="A108" s="23" t="str">
        <f>IF(53&lt;=$B$22,53,"")</f>
        <v/>
      </c>
      <c r="B108" s="24" t="str">
        <f t="shared" si="7"/>
        <v/>
      </c>
      <c r="C108" s="17" t="str">
        <f t="shared" si="12"/>
        <v/>
      </c>
      <c r="D108" s="17" t="str">
        <f t="shared" si="8"/>
        <v/>
      </c>
      <c r="E108" s="17" t="str">
        <f t="shared" si="9"/>
        <v/>
      </c>
      <c r="F108" s="17" t="str">
        <f t="shared" si="10"/>
        <v/>
      </c>
      <c r="G108" s="17" t="str">
        <f t="shared" si="11"/>
        <v/>
      </c>
      <c r="H108" s="17" t="str">
        <f t="shared" si="13"/>
        <v/>
      </c>
    </row>
    <row r="109" spans="1:8" x14ac:dyDescent="0.3">
      <c r="A109" s="23" t="str">
        <f>IF(54&lt;=$B$22,54,"")</f>
        <v/>
      </c>
      <c r="B109" s="24" t="str">
        <f t="shared" si="7"/>
        <v/>
      </c>
      <c r="C109" s="17" t="str">
        <f t="shared" si="12"/>
        <v/>
      </c>
      <c r="D109" s="17" t="str">
        <f t="shared" si="8"/>
        <v/>
      </c>
      <c r="E109" s="17" t="str">
        <f t="shared" si="9"/>
        <v/>
      </c>
      <c r="F109" s="17" t="str">
        <f t="shared" si="10"/>
        <v/>
      </c>
      <c r="G109" s="17" t="str">
        <f t="shared" si="11"/>
        <v/>
      </c>
      <c r="H109" s="17" t="str">
        <f t="shared" si="13"/>
        <v/>
      </c>
    </row>
    <row r="110" spans="1:8" x14ac:dyDescent="0.3">
      <c r="A110" s="23" t="str">
        <f>IF(55&lt;=$B$22,55,"")</f>
        <v/>
      </c>
      <c r="B110" s="24" t="str">
        <f t="shared" si="7"/>
        <v/>
      </c>
      <c r="C110" s="17" t="str">
        <f t="shared" si="12"/>
        <v/>
      </c>
      <c r="D110" s="17" t="str">
        <f t="shared" si="8"/>
        <v/>
      </c>
      <c r="E110" s="17" t="str">
        <f t="shared" si="9"/>
        <v/>
      </c>
      <c r="F110" s="17" t="str">
        <f t="shared" si="10"/>
        <v/>
      </c>
      <c r="G110" s="17" t="str">
        <f t="shared" si="11"/>
        <v/>
      </c>
      <c r="H110" s="17" t="str">
        <f t="shared" si="13"/>
        <v/>
      </c>
    </row>
    <row r="111" spans="1:8" x14ac:dyDescent="0.3">
      <c r="A111" s="23" t="str">
        <f>IF(56&lt;=$B$22,56,"")</f>
        <v/>
      </c>
      <c r="B111" s="24" t="str">
        <f t="shared" si="7"/>
        <v/>
      </c>
      <c r="C111" s="17" t="str">
        <f t="shared" si="12"/>
        <v/>
      </c>
      <c r="D111" s="17" t="str">
        <f t="shared" si="8"/>
        <v/>
      </c>
      <c r="E111" s="17" t="str">
        <f t="shared" si="9"/>
        <v/>
      </c>
      <c r="F111" s="17" t="str">
        <f t="shared" si="10"/>
        <v/>
      </c>
      <c r="G111" s="17" t="str">
        <f t="shared" si="11"/>
        <v/>
      </c>
      <c r="H111" s="17" t="str">
        <f t="shared" si="13"/>
        <v/>
      </c>
    </row>
    <row r="112" spans="1:8" x14ac:dyDescent="0.3">
      <c r="A112" s="23" t="str">
        <f>IF(57&lt;=$B$22,57,"")</f>
        <v/>
      </c>
      <c r="B112" s="24" t="str">
        <f t="shared" si="7"/>
        <v/>
      </c>
      <c r="C112" s="17" t="str">
        <f t="shared" si="12"/>
        <v/>
      </c>
      <c r="D112" s="17" t="str">
        <f t="shared" si="8"/>
        <v/>
      </c>
      <c r="E112" s="17" t="str">
        <f t="shared" si="9"/>
        <v/>
      </c>
      <c r="F112" s="17" t="str">
        <f t="shared" si="10"/>
        <v/>
      </c>
      <c r="G112" s="17" t="str">
        <f t="shared" si="11"/>
        <v/>
      </c>
      <c r="H112" s="17" t="str">
        <f t="shared" si="13"/>
        <v/>
      </c>
    </row>
    <row r="113" spans="1:8" x14ac:dyDescent="0.3">
      <c r="A113" s="23" t="str">
        <f>IF(58&lt;=$B$22,58,"")</f>
        <v/>
      </c>
      <c r="B113" s="24" t="str">
        <f t="shared" si="7"/>
        <v/>
      </c>
      <c r="C113" s="17" t="str">
        <f t="shared" si="12"/>
        <v/>
      </c>
      <c r="D113" s="17" t="str">
        <f t="shared" si="8"/>
        <v/>
      </c>
      <c r="E113" s="17" t="str">
        <f t="shared" si="9"/>
        <v/>
      </c>
      <c r="F113" s="17" t="str">
        <f t="shared" si="10"/>
        <v/>
      </c>
      <c r="G113" s="17" t="str">
        <f t="shared" si="11"/>
        <v/>
      </c>
      <c r="H113" s="17" t="str">
        <f t="shared" si="13"/>
        <v/>
      </c>
    </row>
    <row r="114" spans="1:8" x14ac:dyDescent="0.3">
      <c r="A114" s="23" t="str">
        <f>IF(59&lt;=$B$22,59,"")</f>
        <v/>
      </c>
      <c r="B114" s="24" t="str">
        <f t="shared" si="7"/>
        <v/>
      </c>
      <c r="C114" s="17" t="str">
        <f t="shared" si="12"/>
        <v/>
      </c>
      <c r="D114" s="17" t="str">
        <f t="shared" si="8"/>
        <v/>
      </c>
      <c r="E114" s="17" t="str">
        <f t="shared" si="9"/>
        <v/>
      </c>
      <c r="F114" s="17" t="str">
        <f t="shared" si="10"/>
        <v/>
      </c>
      <c r="G114" s="17" t="str">
        <f t="shared" si="11"/>
        <v/>
      </c>
      <c r="H114" s="17" t="str">
        <f t="shared" si="13"/>
        <v/>
      </c>
    </row>
    <row r="115" spans="1:8" x14ac:dyDescent="0.3">
      <c r="A115" s="23" t="str">
        <f>IF(60&lt;=$B$22,60,"")</f>
        <v/>
      </c>
      <c r="B115" s="24" t="str">
        <f t="shared" si="7"/>
        <v/>
      </c>
      <c r="C115" s="17" t="str">
        <f t="shared" si="12"/>
        <v/>
      </c>
      <c r="D115" s="17" t="str">
        <f t="shared" si="8"/>
        <v/>
      </c>
      <c r="E115" s="17" t="str">
        <f t="shared" si="9"/>
        <v/>
      </c>
      <c r="F115" s="17" t="str">
        <f t="shared" si="10"/>
        <v/>
      </c>
      <c r="G115" s="17" t="str">
        <f t="shared" si="11"/>
        <v/>
      </c>
      <c r="H115" s="17" t="str">
        <f t="shared" si="13"/>
        <v/>
      </c>
    </row>
    <row r="116" spans="1:8" x14ac:dyDescent="0.3">
      <c r="A116" s="5" t="s">
        <v>141</v>
      </c>
      <c r="D116" s="19">
        <f>SUM(D56:D115)</f>
        <v>300000</v>
      </c>
      <c r="E116" s="19">
        <f>SUM(E56:E115)</f>
        <v>119520</v>
      </c>
      <c r="F116" s="19">
        <f>SUM(F56:F115)</f>
        <v>419520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4" width="48" customWidth="1"/>
    <col min="5" max="5" width="16" customWidth="1"/>
    <col min="6" max="7" width="18" customWidth="1"/>
    <col min="8" max="8" width="22" customWidth="1"/>
  </cols>
  <sheetData>
    <row r="1" spans="1:4" ht="17.399999999999999" x14ac:dyDescent="0.3">
      <c r="A1" s="1" t="s">
        <v>177</v>
      </c>
    </row>
    <row r="2" spans="1:4" x14ac:dyDescent="0.3">
      <c r="A2" s="2" t="s">
        <v>178</v>
      </c>
    </row>
    <row r="4" spans="1:4" x14ac:dyDescent="0.3">
      <c r="A4" s="11" t="s">
        <v>80</v>
      </c>
      <c r="B4" s="11" t="s">
        <v>81</v>
      </c>
      <c r="C4" s="11" t="s">
        <v>82</v>
      </c>
      <c r="D4" s="11" t="s">
        <v>83</v>
      </c>
    </row>
    <row r="5" spans="1:4" x14ac:dyDescent="0.3">
      <c r="A5" s="7" t="s">
        <v>84</v>
      </c>
      <c r="B5" s="12">
        <v>20000</v>
      </c>
      <c r="C5" s="6" t="s">
        <v>179</v>
      </c>
    </row>
    <row r="6" spans="1:4" x14ac:dyDescent="0.3">
      <c r="A6" s="7" t="s">
        <v>86</v>
      </c>
      <c r="B6" s="13">
        <v>12</v>
      </c>
      <c r="C6" s="6" t="s">
        <v>180</v>
      </c>
    </row>
    <row r="7" spans="1:4" x14ac:dyDescent="0.3">
      <c r="A7" s="7" t="s">
        <v>88</v>
      </c>
      <c r="B7" s="14">
        <v>0.02</v>
      </c>
      <c r="C7" s="6" t="s">
        <v>181</v>
      </c>
    </row>
    <row r="8" spans="1:4" ht="26.4" x14ac:dyDescent="0.3">
      <c r="A8" s="7" t="s">
        <v>115</v>
      </c>
      <c r="B8" s="12">
        <v>100</v>
      </c>
      <c r="C8" s="6" t="s">
        <v>182</v>
      </c>
    </row>
    <row r="9" spans="1:4" x14ac:dyDescent="0.3">
      <c r="A9" s="7" t="s">
        <v>94</v>
      </c>
      <c r="B9" s="14">
        <v>0.02</v>
      </c>
      <c r="C9" s="6"/>
    </row>
    <row r="10" spans="1:4" x14ac:dyDescent="0.3">
      <c r="A10" s="7" t="s">
        <v>100</v>
      </c>
      <c r="B10" s="16">
        <v>46351</v>
      </c>
      <c r="C10" s="6"/>
    </row>
    <row r="11" spans="1:4" x14ac:dyDescent="0.3">
      <c r="A11" s="7" t="s">
        <v>183</v>
      </c>
      <c r="B11" s="21" t="str">
        <f>IF(AND($B$5&lt;=20000,OR($B$6=6,$B$6=12)),"OK","INVALID: P must be ≤ 20,000 and n must be 6 or 12")</f>
        <v>OK</v>
      </c>
      <c r="C11" s="6"/>
    </row>
    <row r="13" spans="1:4" x14ac:dyDescent="0.3">
      <c r="A13" s="3" t="s">
        <v>184</v>
      </c>
      <c r="B13" s="4"/>
      <c r="C13" s="4"/>
      <c r="D13" s="4"/>
    </row>
    <row r="14" spans="1:4" ht="26.4" x14ac:dyDescent="0.3">
      <c r="A14" s="7" t="s">
        <v>185</v>
      </c>
      <c r="B14" s="17">
        <f>INT(ROUND($B$5*100,0)/$B$6)/100</f>
        <v>1666.66</v>
      </c>
      <c r="C14" s="6" t="s">
        <v>186</v>
      </c>
      <c r="D14" s="18" t="str">
        <f>"₱"&amp;TEXT($B$5,"#,##0.00")&amp;" ÷ "&amp;$B$6&amp;" = "&amp;TEXT($B$5/$B$6,"#,##0.0000")&amp;" → "&amp;"₱"&amp;TEXT(B14,"#,##0.00")</f>
        <v>₱20,000.00 ÷ 12 = 1,666.6667 → ₱1,666.66</v>
      </c>
    </row>
    <row r="15" spans="1:4" ht="26.4" x14ac:dyDescent="0.3">
      <c r="A15" s="7" t="s">
        <v>187</v>
      </c>
      <c r="B15" s="17">
        <f>ROUND($B$5-$B$14*($B$6-1),2)</f>
        <v>1666.74</v>
      </c>
      <c r="C15" s="6" t="s">
        <v>188</v>
      </c>
      <c r="D15" s="18" t="str">
        <f>"₱"&amp;TEXT($B$5,"#,##0.00")&amp;" - "&amp;"₱"&amp;TEXT($B$14,"#,##0.00")&amp;" × "&amp;($B$6-1)&amp;" = "&amp;"₱"&amp;TEXT(B15,"#,##0.00")</f>
        <v>₱20,000.00 - ₱1,666.66 × 11 = ₱1,666.74</v>
      </c>
    </row>
    <row r="17" spans="1:8" x14ac:dyDescent="0.3">
      <c r="A17" s="3" t="s">
        <v>189</v>
      </c>
      <c r="B17" s="4"/>
      <c r="C17" s="4"/>
      <c r="D17" s="4"/>
    </row>
    <row r="18" spans="1:8" x14ac:dyDescent="0.3">
      <c r="A18" s="7" t="s">
        <v>190</v>
      </c>
      <c r="B18" s="17">
        <f>$B$5-$B$14</f>
        <v>18333.34</v>
      </c>
      <c r="C18" s="6" t="s">
        <v>191</v>
      </c>
      <c r="D18" s="18" t="str">
        <f>"₱"&amp;TEXT($B$5,"#,##0.00")&amp;" - "&amp;"₱"&amp;TEXT($B$14,"#,##0.00")&amp;" = "&amp;"₱"&amp;TEXT(B18,"#,##0.00")</f>
        <v>₱20,000.00 - ₱1,666.66 = ₱18,333.34</v>
      </c>
    </row>
    <row r="19" spans="1:8" x14ac:dyDescent="0.3">
      <c r="A19" s="7" t="s">
        <v>192</v>
      </c>
      <c r="B19" s="17">
        <f>ROUND($B$18*$B$7,2)</f>
        <v>366.67</v>
      </c>
      <c r="C19" s="6" t="s">
        <v>193</v>
      </c>
      <c r="D19" s="18" t="str">
        <f>"₱"&amp;TEXT($B$18,"#,##0.00")&amp;" × "&amp;TEXT($B$7,"0%")&amp;" = "&amp;"₱"&amp;TEXT(B19,"#,##0.00")</f>
        <v>₱18,333.34 × 2% = ₱366.67</v>
      </c>
    </row>
    <row r="20" spans="1:8" x14ac:dyDescent="0.3">
      <c r="A20" s="5" t="s">
        <v>194</v>
      </c>
      <c r="B20" s="19">
        <f>$B$14+$B$19</f>
        <v>2033.3300000000002</v>
      </c>
      <c r="C20" s="6" t="s">
        <v>195</v>
      </c>
      <c r="D20" s="18" t="str">
        <f>"₱"&amp;TEXT($B$14,"#,##0.00")&amp;" + "&amp;"₱"&amp;TEXT($B$19,"#,##0.00")&amp;" = "&amp;"₱"&amp;TEXT(B20,"#,##0.00")</f>
        <v>₱1,666.66 + ₱366.67 = ₱2,033.33</v>
      </c>
    </row>
    <row r="21" spans="1:8" x14ac:dyDescent="0.3">
      <c r="A21" s="5" t="s">
        <v>109</v>
      </c>
      <c r="B21" s="19">
        <f>E44</f>
        <v>2200</v>
      </c>
      <c r="C21" s="6" t="s">
        <v>196</v>
      </c>
    </row>
    <row r="22" spans="1:8" x14ac:dyDescent="0.3">
      <c r="A22" s="7" t="s">
        <v>110</v>
      </c>
      <c r="B22" s="17">
        <f>$B$5+$B$21</f>
        <v>22200</v>
      </c>
      <c r="C22" s="6" t="s">
        <v>111</v>
      </c>
      <c r="D22" s="18" t="str">
        <f>"₱"&amp;TEXT($B$5,"#,##0.00")&amp;" + "&amp;"₱"&amp;TEXT($B$21,"#,##0.00")&amp;" = "&amp;"₱"&amp;TEXT(B22,"#,##0.00")</f>
        <v>₱20,000.00 + ₱2,200.00 = ₱22,200.00</v>
      </c>
    </row>
    <row r="24" spans="1:8" x14ac:dyDescent="0.3">
      <c r="A24" s="3" t="s">
        <v>197</v>
      </c>
      <c r="B24" s="4"/>
      <c r="C24" s="4"/>
      <c r="D24" s="4"/>
    </row>
    <row r="25" spans="1:8" x14ac:dyDescent="0.3">
      <c r="A25" s="7" t="s">
        <v>115</v>
      </c>
      <c r="B25" s="17">
        <f>$B$8</f>
        <v>100</v>
      </c>
      <c r="C25" s="6" t="s">
        <v>120</v>
      </c>
    </row>
    <row r="26" spans="1:8" x14ac:dyDescent="0.3">
      <c r="A26" s="7" t="s">
        <v>42</v>
      </c>
      <c r="B26" s="17">
        <f>ROUND($B$5*$B$9,2)</f>
        <v>400</v>
      </c>
      <c r="C26" s="6" t="s">
        <v>198</v>
      </c>
      <c r="D26" s="18" t="str">
        <f>"₱"&amp;TEXT($B$5,"#,##0.00")&amp;" × "&amp;TEXT($B$9,"0%")&amp;" = "&amp;"₱"&amp;TEXT(B26,"#,##0.00")</f>
        <v>₱20,000.00 × 2% = ₱400.00</v>
      </c>
    </row>
    <row r="27" spans="1:8" x14ac:dyDescent="0.3">
      <c r="A27" s="5" t="s">
        <v>121</v>
      </c>
      <c r="B27" s="19">
        <f>$B$25+$B$26</f>
        <v>500</v>
      </c>
      <c r="C27" s="6"/>
      <c r="D27" s="18" t="str">
        <f>"₱"&amp;TEXT($B$25,"#,##0.00")&amp;" + "&amp;"₱"&amp;TEXT($B$26,"#,##0.00")&amp;" = "&amp;"₱"&amp;TEXT(B27,"#,##0.00")</f>
        <v>₱100.00 + ₱400.00 = ₱500.00</v>
      </c>
    </row>
    <row r="28" spans="1:8" x14ac:dyDescent="0.3">
      <c r="A28" s="5" t="s">
        <v>123</v>
      </c>
      <c r="B28" s="19">
        <f>$B$5-$B$27</f>
        <v>19500</v>
      </c>
      <c r="C28" s="6"/>
      <c r="D28" s="18" t="str">
        <f>"₱"&amp;TEXT($B$5,"#,##0.00")&amp;" - "&amp;"₱"&amp;TEXT($B$27,"#,##0.00")&amp;" = "&amp;"₱"&amp;TEXT(B28,"#,##0.00")</f>
        <v>₱20,000.00 - ₱500.00 = ₱19,500.00</v>
      </c>
    </row>
    <row r="30" spans="1:8" x14ac:dyDescent="0.3">
      <c r="A30" s="22" t="s">
        <v>199</v>
      </c>
    </row>
    <row r="31" spans="1:8" ht="26.4" x14ac:dyDescent="0.3">
      <c r="A31" s="11" t="s">
        <v>133</v>
      </c>
      <c r="B31" s="11" t="s">
        <v>134</v>
      </c>
      <c r="C31" s="11" t="s">
        <v>200</v>
      </c>
      <c r="D31" s="11" t="s">
        <v>136</v>
      </c>
      <c r="E31" s="11" t="s">
        <v>201</v>
      </c>
      <c r="F31" s="11" t="s">
        <v>138</v>
      </c>
      <c r="G31" s="11" t="s">
        <v>202</v>
      </c>
      <c r="H31" s="11" t="s">
        <v>203</v>
      </c>
    </row>
    <row r="32" spans="1:8" x14ac:dyDescent="0.3">
      <c r="A32" s="23">
        <f>IF(1&lt;=$B$6,1,"")</f>
        <v>1</v>
      </c>
      <c r="B32" s="24">
        <f t="shared" ref="B32:B43" si="0">IF($A32="","",EDATE($B$10,$A32-1))</f>
        <v>46351</v>
      </c>
      <c r="C32" s="17">
        <f>IF($A32="","",$B$5)</f>
        <v>20000</v>
      </c>
      <c r="D32" s="17">
        <f t="shared" ref="D32:D43" si="1">IF($A32="","",IF($A32&lt;$B$6,$B$14,C32))</f>
        <v>1666.66</v>
      </c>
      <c r="E32" s="17">
        <f t="shared" ref="E32:E43" si="2">IF($A32="","",ROUND(G32*$B$7,2))</f>
        <v>366.67</v>
      </c>
      <c r="F32" s="17">
        <f t="shared" ref="F32:F43" si="3">IF($A32="","",D32+E32)</f>
        <v>2033.3300000000002</v>
      </c>
      <c r="G32" s="17">
        <f t="shared" ref="G32:G43" si="4">IF($A32="","",ROUND(C32-D32,2))</f>
        <v>18333.34</v>
      </c>
      <c r="H32" s="25">
        <f t="shared" ref="H32:H43" si="5">IF($A32="","",ROUND(C32*$B$7,2))</f>
        <v>400</v>
      </c>
    </row>
    <row r="33" spans="1:8" x14ac:dyDescent="0.3">
      <c r="A33" s="23">
        <f>IF(2&lt;=$B$6,2,"")</f>
        <v>2</v>
      </c>
      <c r="B33" s="24">
        <f t="shared" si="0"/>
        <v>46381</v>
      </c>
      <c r="C33" s="17">
        <f t="shared" ref="C33:C43" si="6">IF($A33="","",G32)</f>
        <v>18333.34</v>
      </c>
      <c r="D33" s="17">
        <f t="shared" si="1"/>
        <v>1666.66</v>
      </c>
      <c r="E33" s="17">
        <f t="shared" si="2"/>
        <v>333.33</v>
      </c>
      <c r="F33" s="17">
        <f t="shared" si="3"/>
        <v>1999.99</v>
      </c>
      <c r="G33" s="17">
        <f t="shared" si="4"/>
        <v>16666.68</v>
      </c>
      <c r="H33" s="25">
        <f t="shared" si="5"/>
        <v>366.67</v>
      </c>
    </row>
    <row r="34" spans="1:8" x14ac:dyDescent="0.3">
      <c r="A34" s="23">
        <f>IF(3&lt;=$B$6,3,"")</f>
        <v>3</v>
      </c>
      <c r="B34" s="24">
        <f t="shared" si="0"/>
        <v>46412</v>
      </c>
      <c r="C34" s="17">
        <f t="shared" si="6"/>
        <v>16666.68</v>
      </c>
      <c r="D34" s="17">
        <f t="shared" si="1"/>
        <v>1666.66</v>
      </c>
      <c r="E34" s="17">
        <f t="shared" si="2"/>
        <v>300</v>
      </c>
      <c r="F34" s="17">
        <f t="shared" si="3"/>
        <v>1966.66</v>
      </c>
      <c r="G34" s="17">
        <f t="shared" si="4"/>
        <v>15000.02</v>
      </c>
      <c r="H34" s="25">
        <f t="shared" si="5"/>
        <v>333.33</v>
      </c>
    </row>
    <row r="35" spans="1:8" x14ac:dyDescent="0.3">
      <c r="A35" s="23">
        <f>IF(4&lt;=$B$6,4,"")</f>
        <v>4</v>
      </c>
      <c r="B35" s="24">
        <f t="shared" si="0"/>
        <v>46443</v>
      </c>
      <c r="C35" s="17">
        <f t="shared" si="6"/>
        <v>15000.02</v>
      </c>
      <c r="D35" s="17">
        <f t="shared" si="1"/>
        <v>1666.66</v>
      </c>
      <c r="E35" s="17">
        <f t="shared" si="2"/>
        <v>266.67</v>
      </c>
      <c r="F35" s="17">
        <f t="shared" si="3"/>
        <v>1933.3300000000002</v>
      </c>
      <c r="G35" s="17">
        <f t="shared" si="4"/>
        <v>13333.36</v>
      </c>
      <c r="H35" s="25">
        <f t="shared" si="5"/>
        <v>300</v>
      </c>
    </row>
    <row r="36" spans="1:8" x14ac:dyDescent="0.3">
      <c r="A36" s="23">
        <f>IF(5&lt;=$B$6,5,"")</f>
        <v>5</v>
      </c>
      <c r="B36" s="24">
        <f t="shared" si="0"/>
        <v>46471</v>
      </c>
      <c r="C36" s="17">
        <f t="shared" si="6"/>
        <v>13333.36</v>
      </c>
      <c r="D36" s="17">
        <f t="shared" si="1"/>
        <v>1666.66</v>
      </c>
      <c r="E36" s="17">
        <f t="shared" si="2"/>
        <v>233.33</v>
      </c>
      <c r="F36" s="17">
        <f t="shared" si="3"/>
        <v>1899.99</v>
      </c>
      <c r="G36" s="17">
        <f t="shared" si="4"/>
        <v>11666.7</v>
      </c>
      <c r="H36" s="25">
        <f t="shared" si="5"/>
        <v>266.67</v>
      </c>
    </row>
    <row r="37" spans="1:8" x14ac:dyDescent="0.3">
      <c r="A37" s="23">
        <f>IF(6&lt;=$B$6,6,"")</f>
        <v>6</v>
      </c>
      <c r="B37" s="24">
        <f t="shared" si="0"/>
        <v>46502</v>
      </c>
      <c r="C37" s="17">
        <f t="shared" si="6"/>
        <v>11666.7</v>
      </c>
      <c r="D37" s="17">
        <f t="shared" si="1"/>
        <v>1666.66</v>
      </c>
      <c r="E37" s="17">
        <f t="shared" si="2"/>
        <v>200</v>
      </c>
      <c r="F37" s="17">
        <f t="shared" si="3"/>
        <v>1866.66</v>
      </c>
      <c r="G37" s="17">
        <f t="shared" si="4"/>
        <v>10000.040000000001</v>
      </c>
      <c r="H37" s="25">
        <f t="shared" si="5"/>
        <v>233.33</v>
      </c>
    </row>
    <row r="38" spans="1:8" x14ac:dyDescent="0.3">
      <c r="A38" s="23">
        <f>IF(7&lt;=$B$6,7,"")</f>
        <v>7</v>
      </c>
      <c r="B38" s="24">
        <f t="shared" si="0"/>
        <v>46532</v>
      </c>
      <c r="C38" s="17">
        <f t="shared" si="6"/>
        <v>10000.040000000001</v>
      </c>
      <c r="D38" s="17">
        <f t="shared" si="1"/>
        <v>1666.66</v>
      </c>
      <c r="E38" s="17">
        <f t="shared" si="2"/>
        <v>166.67</v>
      </c>
      <c r="F38" s="17">
        <f t="shared" si="3"/>
        <v>1833.3300000000002</v>
      </c>
      <c r="G38" s="17">
        <f t="shared" si="4"/>
        <v>8333.3799999999992</v>
      </c>
      <c r="H38" s="25">
        <f t="shared" si="5"/>
        <v>200</v>
      </c>
    </row>
    <row r="39" spans="1:8" x14ac:dyDescent="0.3">
      <c r="A39" s="23">
        <f>IF(8&lt;=$B$6,8,"")</f>
        <v>8</v>
      </c>
      <c r="B39" s="24">
        <f t="shared" si="0"/>
        <v>46563</v>
      </c>
      <c r="C39" s="17">
        <f t="shared" si="6"/>
        <v>8333.3799999999992</v>
      </c>
      <c r="D39" s="17">
        <f t="shared" si="1"/>
        <v>1666.66</v>
      </c>
      <c r="E39" s="17">
        <f t="shared" si="2"/>
        <v>133.33000000000001</v>
      </c>
      <c r="F39" s="17">
        <f t="shared" si="3"/>
        <v>1799.99</v>
      </c>
      <c r="G39" s="17">
        <f t="shared" si="4"/>
        <v>6666.72</v>
      </c>
      <c r="H39" s="25">
        <f t="shared" si="5"/>
        <v>166.67</v>
      </c>
    </row>
    <row r="40" spans="1:8" x14ac:dyDescent="0.3">
      <c r="A40" s="23">
        <f>IF(9&lt;=$B$6,9,"")</f>
        <v>9</v>
      </c>
      <c r="B40" s="24">
        <f t="shared" si="0"/>
        <v>46593</v>
      </c>
      <c r="C40" s="17">
        <f t="shared" si="6"/>
        <v>6666.72</v>
      </c>
      <c r="D40" s="17">
        <f t="shared" si="1"/>
        <v>1666.66</v>
      </c>
      <c r="E40" s="17">
        <f t="shared" si="2"/>
        <v>100</v>
      </c>
      <c r="F40" s="17">
        <f t="shared" si="3"/>
        <v>1766.66</v>
      </c>
      <c r="G40" s="17">
        <f t="shared" si="4"/>
        <v>5000.0600000000004</v>
      </c>
      <c r="H40" s="25">
        <f t="shared" si="5"/>
        <v>133.33000000000001</v>
      </c>
    </row>
    <row r="41" spans="1:8" x14ac:dyDescent="0.3">
      <c r="A41" s="23">
        <f>IF(10&lt;=$B$6,10,"")</f>
        <v>10</v>
      </c>
      <c r="B41" s="24">
        <f t="shared" si="0"/>
        <v>46624</v>
      </c>
      <c r="C41" s="17">
        <f t="shared" si="6"/>
        <v>5000.0600000000004</v>
      </c>
      <c r="D41" s="17">
        <f t="shared" si="1"/>
        <v>1666.66</v>
      </c>
      <c r="E41" s="17">
        <f t="shared" si="2"/>
        <v>66.67</v>
      </c>
      <c r="F41" s="17">
        <f t="shared" si="3"/>
        <v>1733.3300000000002</v>
      </c>
      <c r="G41" s="17">
        <f t="shared" si="4"/>
        <v>3333.4</v>
      </c>
      <c r="H41" s="25">
        <f t="shared" si="5"/>
        <v>100</v>
      </c>
    </row>
    <row r="42" spans="1:8" x14ac:dyDescent="0.3">
      <c r="A42" s="23">
        <f>IF(11&lt;=$B$6,11,"")</f>
        <v>11</v>
      </c>
      <c r="B42" s="24">
        <f t="shared" si="0"/>
        <v>46655</v>
      </c>
      <c r="C42" s="17">
        <f t="shared" si="6"/>
        <v>3333.4</v>
      </c>
      <c r="D42" s="17">
        <f t="shared" si="1"/>
        <v>1666.66</v>
      </c>
      <c r="E42" s="17">
        <f t="shared" si="2"/>
        <v>33.33</v>
      </c>
      <c r="F42" s="17">
        <f t="shared" si="3"/>
        <v>1699.99</v>
      </c>
      <c r="G42" s="17">
        <f t="shared" si="4"/>
        <v>1666.74</v>
      </c>
      <c r="H42" s="25">
        <f t="shared" si="5"/>
        <v>66.67</v>
      </c>
    </row>
    <row r="43" spans="1:8" x14ac:dyDescent="0.3">
      <c r="A43" s="23">
        <f>IF(12&lt;=$B$6,12,"")</f>
        <v>12</v>
      </c>
      <c r="B43" s="24">
        <f t="shared" si="0"/>
        <v>46685</v>
      </c>
      <c r="C43" s="17">
        <f t="shared" si="6"/>
        <v>1666.74</v>
      </c>
      <c r="D43" s="17">
        <f t="shared" si="1"/>
        <v>1666.74</v>
      </c>
      <c r="E43" s="17">
        <f t="shared" si="2"/>
        <v>0</v>
      </c>
      <c r="F43" s="17">
        <f t="shared" si="3"/>
        <v>1666.74</v>
      </c>
      <c r="G43" s="17">
        <f t="shared" si="4"/>
        <v>0</v>
      </c>
      <c r="H43" s="25">
        <f t="shared" si="5"/>
        <v>33.33</v>
      </c>
    </row>
    <row r="44" spans="1:8" x14ac:dyDescent="0.3">
      <c r="A44" s="5" t="s">
        <v>141</v>
      </c>
      <c r="D44" s="19">
        <f>SUM(D32:D43)</f>
        <v>20000.000000000004</v>
      </c>
      <c r="E44" s="19">
        <f>SUM(E32:E43)</f>
        <v>2200</v>
      </c>
      <c r="F44" s="19">
        <f>SUM(F32:F43)</f>
        <v>22200.000000000007</v>
      </c>
      <c r="H44" s="19">
        <f>SUM(H32:H43)</f>
        <v>2600</v>
      </c>
    </row>
    <row r="45" spans="1:8" x14ac:dyDescent="0.3">
      <c r="A45" s="7" t="s">
        <v>204</v>
      </c>
      <c r="D45" s="5" t="str">
        <f>IF(ROUND(D44-$B$5,2)=0,"YES","NO")</f>
        <v>YES</v>
      </c>
    </row>
    <row r="46" spans="1:8" x14ac:dyDescent="0.3">
      <c r="A46" s="7" t="s">
        <v>205</v>
      </c>
      <c r="H46" s="26">
        <f>H44-E44</f>
        <v>400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4" width="48" customWidth="1"/>
    <col min="5" max="5" width="16" customWidth="1"/>
    <col min="6" max="8" width="18" customWidth="1"/>
  </cols>
  <sheetData>
    <row r="1" spans="1:4" ht="17.399999999999999" x14ac:dyDescent="0.3">
      <c r="A1" s="1" t="s">
        <v>206</v>
      </c>
    </row>
    <row r="2" spans="1:4" x14ac:dyDescent="0.3">
      <c r="A2" s="2" t="s">
        <v>207</v>
      </c>
    </row>
    <row r="4" spans="1:4" x14ac:dyDescent="0.3">
      <c r="A4" s="11" t="s">
        <v>80</v>
      </c>
      <c r="B4" s="11" t="s">
        <v>81</v>
      </c>
      <c r="C4" s="11" t="s">
        <v>82</v>
      </c>
      <c r="D4" s="11" t="s">
        <v>83</v>
      </c>
    </row>
    <row r="5" spans="1:4" x14ac:dyDescent="0.3">
      <c r="A5" s="7" t="s">
        <v>84</v>
      </c>
      <c r="B5" s="12">
        <v>30000</v>
      </c>
      <c r="C5" s="6" t="s">
        <v>208</v>
      </c>
    </row>
    <row r="6" spans="1:4" ht="26.4" x14ac:dyDescent="0.3">
      <c r="A6" s="7" t="s">
        <v>86</v>
      </c>
      <c r="B6" s="13">
        <v>5</v>
      </c>
      <c r="C6" s="6" t="s">
        <v>209</v>
      </c>
    </row>
    <row r="7" spans="1:4" x14ac:dyDescent="0.3">
      <c r="A7" s="7" t="s">
        <v>210</v>
      </c>
      <c r="B7" s="27" t="s">
        <v>211</v>
      </c>
      <c r="C7" s="6" t="s">
        <v>212</v>
      </c>
    </row>
    <row r="8" spans="1:4" x14ac:dyDescent="0.3">
      <c r="A8" s="7" t="s">
        <v>213</v>
      </c>
      <c r="B8" s="14">
        <v>0.02</v>
      </c>
      <c r="C8" s="6" t="s">
        <v>214</v>
      </c>
    </row>
    <row r="9" spans="1:4" ht="26.4" x14ac:dyDescent="0.3">
      <c r="A9" s="7" t="s">
        <v>215</v>
      </c>
      <c r="B9" s="14">
        <v>0.02</v>
      </c>
      <c r="C9" s="6" t="s">
        <v>216</v>
      </c>
    </row>
    <row r="10" spans="1:4" x14ac:dyDescent="0.3">
      <c r="A10" s="7" t="s">
        <v>115</v>
      </c>
      <c r="B10" s="12">
        <v>100</v>
      </c>
      <c r="C10" s="6" t="s">
        <v>217</v>
      </c>
    </row>
    <row r="11" spans="1:4" x14ac:dyDescent="0.3">
      <c r="A11" s="7" t="s">
        <v>100</v>
      </c>
      <c r="B11" s="16">
        <v>46412</v>
      </c>
      <c r="C11" s="6"/>
    </row>
    <row r="13" spans="1:4" x14ac:dyDescent="0.3">
      <c r="A13" s="3" t="s">
        <v>218</v>
      </c>
      <c r="B13" s="4"/>
      <c r="C13" s="4"/>
      <c r="D13" s="4"/>
    </row>
    <row r="14" spans="1:4" ht="26.4" x14ac:dyDescent="0.3">
      <c r="A14" s="7" t="s">
        <v>219</v>
      </c>
      <c r="B14" s="28">
        <f>IF(LOWER($B$7)="regular",$B$8,$B$9)</f>
        <v>0.02</v>
      </c>
      <c r="C14" s="6" t="s">
        <v>220</v>
      </c>
    </row>
    <row r="15" spans="1:4" x14ac:dyDescent="0.3">
      <c r="A15" s="7" t="s">
        <v>103</v>
      </c>
      <c r="B15" s="17">
        <f>ROUND($B$5/$B$6,2)</f>
        <v>6000</v>
      </c>
      <c r="C15" s="6" t="s">
        <v>221</v>
      </c>
      <c r="D15" s="18" t="str">
        <f>"₱"&amp;TEXT($B$5,"#,##0.00")&amp;" ÷ "&amp;$B$6&amp;" = "&amp;"₱"&amp;TEXT(B15,"#,##0.00")</f>
        <v>₱30,000.00 ÷ 5 = ₱6,000.00</v>
      </c>
    </row>
    <row r="16" spans="1:4" x14ac:dyDescent="0.3">
      <c r="A16" s="7" t="s">
        <v>105</v>
      </c>
      <c r="B16" s="17">
        <f>ROUND($B$5*$B$14,2)</f>
        <v>600</v>
      </c>
      <c r="C16" s="6" t="s">
        <v>222</v>
      </c>
      <c r="D16" s="18" t="str">
        <f>"₱"&amp;TEXT($B$5,"#,##0.00")&amp;" × "&amp;TEXT($B$14,"0.00%")&amp;" = "&amp;"₱"&amp;TEXT(B16,"#,##0.00")</f>
        <v>₱30,000.00 × 2.00% = ₱600.00</v>
      </c>
    </row>
    <row r="17" spans="1:8" x14ac:dyDescent="0.3">
      <c r="A17" s="5" t="s">
        <v>107</v>
      </c>
      <c r="B17" s="19">
        <f>$B$15+$B$16</f>
        <v>6600</v>
      </c>
      <c r="C17" s="6"/>
      <c r="D17" s="18" t="str">
        <f>"₱"&amp;TEXT($B$15,"#,##0.00")&amp;" + "&amp;"₱"&amp;TEXT($B$16,"#,##0.00")&amp;" = "&amp;"₱"&amp;TEXT(B17,"#,##0.00")</f>
        <v>₱6,000.00 + ₱600.00 = ₱6,600.00</v>
      </c>
    </row>
    <row r="18" spans="1:8" x14ac:dyDescent="0.3">
      <c r="A18" s="7" t="s">
        <v>109</v>
      </c>
      <c r="B18" s="17">
        <f>ROUND($B$5*$B$14*$B$6,2)</f>
        <v>3000</v>
      </c>
      <c r="C18" s="6" t="s">
        <v>33</v>
      </c>
      <c r="D18" s="18" t="str">
        <f>"₱"&amp;TEXT($B$5,"#,##0.00")&amp;" × "&amp;TEXT($B$14,"0.00%")&amp;" × "&amp;$B$6&amp;" = "&amp;"₱"&amp;TEXT(B18,"#,##0.00")</f>
        <v>₱30,000.00 × 2.00% × 5 = ₱3,000.00</v>
      </c>
    </row>
    <row r="19" spans="1:8" x14ac:dyDescent="0.3">
      <c r="A19" s="5" t="s">
        <v>110</v>
      </c>
      <c r="B19" s="19">
        <f>$B$5+$B$18</f>
        <v>33000</v>
      </c>
      <c r="C19" s="6"/>
      <c r="D19" s="18" t="str">
        <f>"₱"&amp;TEXT($B$5,"#,##0.00")&amp;" + "&amp;"₱"&amp;TEXT($B$18,"#,##0.00")&amp;" = "&amp;"₱"&amp;TEXT(B19,"#,##0.00")</f>
        <v>₱30,000.00 + ₱3,000.00 = ₱33,000.00</v>
      </c>
    </row>
    <row r="21" spans="1:8" x14ac:dyDescent="0.3">
      <c r="A21" s="3" t="s">
        <v>112</v>
      </c>
      <c r="B21" s="4"/>
      <c r="C21" s="4"/>
      <c r="D21" s="4"/>
    </row>
    <row r="22" spans="1:8" x14ac:dyDescent="0.3">
      <c r="A22" s="7" t="s">
        <v>115</v>
      </c>
      <c r="B22" s="17">
        <f>$B$10</f>
        <v>100</v>
      </c>
      <c r="C22" s="6"/>
    </row>
    <row r="23" spans="1:8" x14ac:dyDescent="0.3">
      <c r="A23" s="5" t="s">
        <v>123</v>
      </c>
      <c r="B23" s="19">
        <f>$B$5-$B$22</f>
        <v>29900</v>
      </c>
      <c r="C23" s="6"/>
      <c r="D23" s="18" t="str">
        <f>"₱"&amp;TEXT($B$5,"#,##0.00")&amp;" - "&amp;"₱"&amp;TEXT($B$22,"#,##0.00")&amp;" = "&amp;"₱"&amp;TEXT(B23,"#,##0.00")</f>
        <v>₱30,000.00 - ₱100.00 = ₱29,900.00</v>
      </c>
    </row>
    <row r="25" spans="1:8" x14ac:dyDescent="0.3">
      <c r="A25" s="22" t="s">
        <v>223</v>
      </c>
    </row>
    <row r="26" spans="1:8" ht="26.4" x14ac:dyDescent="0.3">
      <c r="A26" s="11" t="s">
        <v>133</v>
      </c>
      <c r="B26" s="11" t="s">
        <v>134</v>
      </c>
      <c r="C26" s="11" t="s">
        <v>135</v>
      </c>
      <c r="D26" s="11" t="s">
        <v>136</v>
      </c>
      <c r="E26" s="11" t="s">
        <v>137</v>
      </c>
      <c r="F26" s="11" t="s">
        <v>138</v>
      </c>
      <c r="G26" s="11" t="s">
        <v>139</v>
      </c>
      <c r="H26" s="11" t="s">
        <v>140</v>
      </c>
    </row>
    <row r="27" spans="1:8" x14ac:dyDescent="0.3">
      <c r="A27" s="23">
        <f>IF(1&lt;=$B$6,1,"")</f>
        <v>1</v>
      </c>
      <c r="B27" s="24">
        <f t="shared" ref="B27:B37" si="0">IF($A27="","",EDATE($B$11,$A27-1))</f>
        <v>46412</v>
      </c>
      <c r="C27" s="17">
        <f>IF($A27="","",$B$5)</f>
        <v>30000</v>
      </c>
      <c r="D27" s="17">
        <f t="shared" ref="D27:D37" si="1">IF($A27="","",ROUND($B$5/$B$6,2))</f>
        <v>6000</v>
      </c>
      <c r="E27" s="17">
        <f t="shared" ref="E27:E37" si="2">IF($A27="","",ROUND($B$5*$B$14,2))</f>
        <v>600</v>
      </c>
      <c r="F27" s="17">
        <f t="shared" ref="F27:F37" si="3">IF($A27="","",D27+E27)</f>
        <v>6600</v>
      </c>
      <c r="G27" s="17">
        <f t="shared" ref="G27:G37" si="4">IF($A27="","",MAX(ROUND(C27-D27,2),0))</f>
        <v>24000</v>
      </c>
      <c r="H27" s="17">
        <f>IF($A27="","",F27)</f>
        <v>6600</v>
      </c>
    </row>
    <row r="28" spans="1:8" x14ac:dyDescent="0.3">
      <c r="A28" s="23">
        <f>IF(2&lt;=$B$6,2,"")</f>
        <v>2</v>
      </c>
      <c r="B28" s="24">
        <f t="shared" si="0"/>
        <v>46443</v>
      </c>
      <c r="C28" s="17">
        <f t="shared" ref="C28:C37" si="5">IF($A28="","",G27)</f>
        <v>24000</v>
      </c>
      <c r="D28" s="17">
        <f t="shared" si="1"/>
        <v>6000</v>
      </c>
      <c r="E28" s="17">
        <f t="shared" si="2"/>
        <v>600</v>
      </c>
      <c r="F28" s="17">
        <f t="shared" si="3"/>
        <v>6600</v>
      </c>
      <c r="G28" s="17">
        <f t="shared" si="4"/>
        <v>18000</v>
      </c>
      <c r="H28" s="17">
        <f t="shared" ref="H28:H37" si="6">IF($A28="","",F28+H27)</f>
        <v>13200</v>
      </c>
    </row>
    <row r="29" spans="1:8" x14ac:dyDescent="0.3">
      <c r="A29" s="23">
        <f>IF(3&lt;=$B$6,3,"")</f>
        <v>3</v>
      </c>
      <c r="B29" s="24">
        <f t="shared" si="0"/>
        <v>46471</v>
      </c>
      <c r="C29" s="17">
        <f t="shared" si="5"/>
        <v>18000</v>
      </c>
      <c r="D29" s="17">
        <f t="shared" si="1"/>
        <v>6000</v>
      </c>
      <c r="E29" s="17">
        <f t="shared" si="2"/>
        <v>600</v>
      </c>
      <c r="F29" s="17">
        <f t="shared" si="3"/>
        <v>6600</v>
      </c>
      <c r="G29" s="17">
        <f t="shared" si="4"/>
        <v>12000</v>
      </c>
      <c r="H29" s="17">
        <f t="shared" si="6"/>
        <v>19800</v>
      </c>
    </row>
    <row r="30" spans="1:8" x14ac:dyDescent="0.3">
      <c r="A30" s="23">
        <f>IF(4&lt;=$B$6,4,"")</f>
        <v>4</v>
      </c>
      <c r="B30" s="24">
        <f t="shared" si="0"/>
        <v>46502</v>
      </c>
      <c r="C30" s="17">
        <f t="shared" si="5"/>
        <v>12000</v>
      </c>
      <c r="D30" s="17">
        <f t="shared" si="1"/>
        <v>6000</v>
      </c>
      <c r="E30" s="17">
        <f t="shared" si="2"/>
        <v>600</v>
      </c>
      <c r="F30" s="17">
        <f t="shared" si="3"/>
        <v>6600</v>
      </c>
      <c r="G30" s="17">
        <f t="shared" si="4"/>
        <v>6000</v>
      </c>
      <c r="H30" s="17">
        <f t="shared" si="6"/>
        <v>26400</v>
      </c>
    </row>
    <row r="31" spans="1:8" x14ac:dyDescent="0.3">
      <c r="A31" s="23">
        <f>IF(5&lt;=$B$6,5,"")</f>
        <v>5</v>
      </c>
      <c r="B31" s="24">
        <f t="shared" si="0"/>
        <v>46532</v>
      </c>
      <c r="C31" s="17">
        <f t="shared" si="5"/>
        <v>6000</v>
      </c>
      <c r="D31" s="17">
        <f t="shared" si="1"/>
        <v>6000</v>
      </c>
      <c r="E31" s="17">
        <f t="shared" si="2"/>
        <v>600</v>
      </c>
      <c r="F31" s="17">
        <f t="shared" si="3"/>
        <v>6600</v>
      </c>
      <c r="G31" s="17">
        <f t="shared" si="4"/>
        <v>0</v>
      </c>
      <c r="H31" s="17">
        <f t="shared" si="6"/>
        <v>33000</v>
      </c>
    </row>
    <row r="32" spans="1:8" x14ac:dyDescent="0.3">
      <c r="A32" s="23" t="str">
        <f>IF(6&lt;=$B$6,6,"")</f>
        <v/>
      </c>
      <c r="B32" s="24" t="str">
        <f t="shared" si="0"/>
        <v/>
      </c>
      <c r="C32" s="17" t="str">
        <f t="shared" si="5"/>
        <v/>
      </c>
      <c r="D32" s="17" t="str">
        <f t="shared" si="1"/>
        <v/>
      </c>
      <c r="E32" s="17" t="str">
        <f t="shared" si="2"/>
        <v/>
      </c>
      <c r="F32" s="17" t="str">
        <f t="shared" si="3"/>
        <v/>
      </c>
      <c r="G32" s="17" t="str">
        <f t="shared" si="4"/>
        <v/>
      </c>
      <c r="H32" s="17" t="str">
        <f t="shared" si="6"/>
        <v/>
      </c>
    </row>
    <row r="33" spans="1:8" x14ac:dyDescent="0.3">
      <c r="A33" s="23" t="str">
        <f>IF(7&lt;=$B$6,7,"")</f>
        <v/>
      </c>
      <c r="B33" s="24" t="str">
        <f t="shared" si="0"/>
        <v/>
      </c>
      <c r="C33" s="17" t="str">
        <f t="shared" si="5"/>
        <v/>
      </c>
      <c r="D33" s="17" t="str">
        <f t="shared" si="1"/>
        <v/>
      </c>
      <c r="E33" s="17" t="str">
        <f t="shared" si="2"/>
        <v/>
      </c>
      <c r="F33" s="17" t="str">
        <f t="shared" si="3"/>
        <v/>
      </c>
      <c r="G33" s="17" t="str">
        <f t="shared" si="4"/>
        <v/>
      </c>
      <c r="H33" s="17" t="str">
        <f t="shared" si="6"/>
        <v/>
      </c>
    </row>
    <row r="34" spans="1:8" x14ac:dyDescent="0.3">
      <c r="A34" s="23" t="str">
        <f>IF(8&lt;=$B$6,8,"")</f>
        <v/>
      </c>
      <c r="B34" s="24" t="str">
        <f t="shared" si="0"/>
        <v/>
      </c>
      <c r="C34" s="17" t="str">
        <f t="shared" si="5"/>
        <v/>
      </c>
      <c r="D34" s="17" t="str">
        <f t="shared" si="1"/>
        <v/>
      </c>
      <c r="E34" s="17" t="str">
        <f t="shared" si="2"/>
        <v/>
      </c>
      <c r="F34" s="17" t="str">
        <f t="shared" si="3"/>
        <v/>
      </c>
      <c r="G34" s="17" t="str">
        <f t="shared" si="4"/>
        <v/>
      </c>
      <c r="H34" s="17" t="str">
        <f t="shared" si="6"/>
        <v/>
      </c>
    </row>
    <row r="35" spans="1:8" x14ac:dyDescent="0.3">
      <c r="A35" s="23" t="str">
        <f>IF(9&lt;=$B$6,9,"")</f>
        <v/>
      </c>
      <c r="B35" s="24" t="str">
        <f t="shared" si="0"/>
        <v/>
      </c>
      <c r="C35" s="17" t="str">
        <f t="shared" si="5"/>
        <v/>
      </c>
      <c r="D35" s="17" t="str">
        <f t="shared" si="1"/>
        <v/>
      </c>
      <c r="E35" s="17" t="str">
        <f t="shared" si="2"/>
        <v/>
      </c>
      <c r="F35" s="17" t="str">
        <f t="shared" si="3"/>
        <v/>
      </c>
      <c r="G35" s="17" t="str">
        <f t="shared" si="4"/>
        <v/>
      </c>
      <c r="H35" s="17" t="str">
        <f t="shared" si="6"/>
        <v/>
      </c>
    </row>
    <row r="36" spans="1:8" x14ac:dyDescent="0.3">
      <c r="A36" s="23" t="str">
        <f>IF(10&lt;=$B$6,10,"")</f>
        <v/>
      </c>
      <c r="B36" s="24" t="str">
        <f t="shared" si="0"/>
        <v/>
      </c>
      <c r="C36" s="17" t="str">
        <f t="shared" si="5"/>
        <v/>
      </c>
      <c r="D36" s="17" t="str">
        <f t="shared" si="1"/>
        <v/>
      </c>
      <c r="E36" s="17" t="str">
        <f t="shared" si="2"/>
        <v/>
      </c>
      <c r="F36" s="17" t="str">
        <f t="shared" si="3"/>
        <v/>
      </c>
      <c r="G36" s="17" t="str">
        <f t="shared" si="4"/>
        <v/>
      </c>
      <c r="H36" s="17" t="str">
        <f t="shared" si="6"/>
        <v/>
      </c>
    </row>
    <row r="37" spans="1:8" x14ac:dyDescent="0.3">
      <c r="A37" s="23" t="str">
        <f>IF(11&lt;=$B$6,11,"")</f>
        <v/>
      </c>
      <c r="B37" s="24" t="str">
        <f t="shared" si="0"/>
        <v/>
      </c>
      <c r="C37" s="17" t="str">
        <f t="shared" si="5"/>
        <v/>
      </c>
      <c r="D37" s="17" t="str">
        <f t="shared" si="1"/>
        <v/>
      </c>
      <c r="E37" s="17" t="str">
        <f t="shared" si="2"/>
        <v/>
      </c>
      <c r="F37" s="17" t="str">
        <f t="shared" si="3"/>
        <v/>
      </c>
      <c r="G37" s="17" t="str">
        <f t="shared" si="4"/>
        <v/>
      </c>
      <c r="H37" s="17" t="str">
        <f t="shared" si="6"/>
        <v/>
      </c>
    </row>
    <row r="38" spans="1:8" x14ac:dyDescent="0.3">
      <c r="A38" s="5" t="s">
        <v>141</v>
      </c>
      <c r="D38" s="19">
        <f>SUM(D27:D37)</f>
        <v>30000</v>
      </c>
      <c r="E38" s="19">
        <f>SUM(E27:E37)</f>
        <v>3000</v>
      </c>
      <c r="F38" s="19">
        <f>SUM(F27:F37)</f>
        <v>33000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showGridLines="0" workbookViewId="0"/>
  </sheetViews>
  <sheetFormatPr defaultRowHeight="14.4" x14ac:dyDescent="0.3"/>
  <cols>
    <col min="1" max="1" width="34" customWidth="1"/>
    <col min="2" max="2" width="18" customWidth="1"/>
    <col min="3" max="4" width="48" customWidth="1"/>
    <col min="5" max="5" width="16" customWidth="1"/>
    <col min="6" max="8" width="18" customWidth="1"/>
  </cols>
  <sheetData>
    <row r="1" spans="1:4" ht="17.399999999999999" x14ac:dyDescent="0.3">
      <c r="A1" s="1" t="s">
        <v>224</v>
      </c>
    </row>
    <row r="2" spans="1:4" x14ac:dyDescent="0.3">
      <c r="A2" s="2" t="s">
        <v>225</v>
      </c>
    </row>
    <row r="4" spans="1:4" x14ac:dyDescent="0.3">
      <c r="A4" s="11" t="s">
        <v>80</v>
      </c>
      <c r="B4" s="11" t="s">
        <v>81</v>
      </c>
      <c r="C4" s="11" t="s">
        <v>82</v>
      </c>
      <c r="D4" s="11" t="s">
        <v>83</v>
      </c>
    </row>
    <row r="5" spans="1:4" x14ac:dyDescent="0.3">
      <c r="A5" s="7" t="s">
        <v>226</v>
      </c>
      <c r="B5" s="27" t="s">
        <v>227</v>
      </c>
      <c r="C5" s="6" t="s">
        <v>228</v>
      </c>
    </row>
    <row r="6" spans="1:4" x14ac:dyDescent="0.3">
      <c r="A6" s="7" t="s">
        <v>229</v>
      </c>
      <c r="B6" s="12">
        <v>100000</v>
      </c>
      <c r="C6" s="6" t="s">
        <v>230</v>
      </c>
    </row>
    <row r="7" spans="1:4" x14ac:dyDescent="0.3">
      <c r="A7" s="7" t="s">
        <v>231</v>
      </c>
      <c r="B7" s="16">
        <v>46106</v>
      </c>
      <c r="C7" s="6"/>
    </row>
    <row r="8" spans="1:4" x14ac:dyDescent="0.3">
      <c r="A8" s="7" t="s">
        <v>232</v>
      </c>
      <c r="B8" s="16">
        <v>46301</v>
      </c>
      <c r="C8" s="6"/>
    </row>
    <row r="9" spans="1:4" x14ac:dyDescent="0.3">
      <c r="A9" s="7" t="s">
        <v>233</v>
      </c>
      <c r="B9" s="27" t="s">
        <v>234</v>
      </c>
      <c r="C9" s="6" t="s">
        <v>235</v>
      </c>
    </row>
    <row r="11" spans="1:4" x14ac:dyDescent="0.3">
      <c r="A11" s="3" t="s">
        <v>236</v>
      </c>
      <c r="B11" s="4"/>
      <c r="C11" s="4"/>
      <c r="D11" s="4"/>
    </row>
    <row r="12" spans="1:4" x14ac:dyDescent="0.3">
      <c r="A12" s="7" t="s">
        <v>237</v>
      </c>
      <c r="B12" s="24">
        <f>EDATE($B$7,3)</f>
        <v>46198</v>
      </c>
      <c r="C12" s="6" t="s">
        <v>238</v>
      </c>
    </row>
    <row r="13" spans="1:4" ht="26.4" x14ac:dyDescent="0.3">
      <c r="A13" s="7" t="s">
        <v>239</v>
      </c>
      <c r="B13" s="20">
        <f>IF($B$8&lt;=$B$12,0,MAX(1,(YEAR($B$8)-YEAR($B$12))*12+MONTH($B$8)-MONTH($B$12)+IF(DAY($B$8)&gt;=DAY($B$12),1,0)))</f>
        <v>4</v>
      </c>
      <c r="C13" s="6" t="s">
        <v>240</v>
      </c>
    </row>
    <row r="14" spans="1:4" x14ac:dyDescent="0.3">
      <c r="A14" s="7" t="s">
        <v>241</v>
      </c>
      <c r="B14" s="28">
        <f>IF(ISNUMBER(SEARCH("bonus",$B$5)),0.01,0.02)</f>
        <v>0.02</v>
      </c>
      <c r="C14" s="6" t="s">
        <v>242</v>
      </c>
    </row>
    <row r="16" spans="1:4" x14ac:dyDescent="0.3">
      <c r="A16" s="3" t="s">
        <v>243</v>
      </c>
      <c r="B16" s="4"/>
      <c r="C16" s="4"/>
      <c r="D16" s="4"/>
    </row>
    <row r="17" spans="1:4" x14ac:dyDescent="0.3">
      <c r="A17" s="5" t="s">
        <v>244</v>
      </c>
      <c r="B17" s="19">
        <f>IF(LOWER($B$9)="yes",0,ROUND(MAX($B$6,0)*$B$14*$B$13,2))</f>
        <v>8000</v>
      </c>
      <c r="C17" s="6" t="s">
        <v>245</v>
      </c>
      <c r="D17" s="18" t="str">
        <f>"₱"&amp;TEXT($B$6,"#,##0.00")&amp;" × "&amp;TEXT($B$14,"0%")&amp;" × "&amp;$B$13&amp;" = "&amp;"₱"&amp;TEXT(B17,"#,##0.00")</f>
        <v>₱100,000.00 × 2% × 4 = ₱8,000.00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</vt:lpstr>
      <vt:lpstr>Consolidated - New</vt:lpstr>
      <vt:lpstr>Consolidated - Renewal</vt:lpstr>
      <vt:lpstr>Emergency</vt:lpstr>
      <vt:lpstr>Bonus</vt:lpstr>
      <vt:lpstr>Penalty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Gero Tabiolo</cp:lastModifiedBy>
  <dcterms:created xsi:type="dcterms:W3CDTF">2026-10-06T06:28:40Z</dcterms:created>
  <dcterms:modified xsi:type="dcterms:W3CDTF">2026-10-06T06:29:03Z</dcterms:modified>
</cp:coreProperties>
</file>