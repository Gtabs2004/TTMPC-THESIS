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TTMPC-THESIS\TTMPC_THESIS\src\analytics\RISK Assesment\"/>
    </mc:Choice>
  </mc:AlternateContent>
  <xr:revisionPtr revIDLastSave="0" documentId="13_ncr:1_{7981F2D3-059C-4C9B-A395-78654CE188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  <sheet name="OccupationMap" sheetId="2" r:id="rId2"/>
    <sheet name="Features" sheetId="3" r:id="rId3"/>
    <sheet name="RiskHeuristic" sheetId="4" r:id="rId4"/>
    <sheet name="Output" sheetId="5" r:id="rId5"/>
  </sheets>
  <definedNames>
    <definedName name="AdvPayCount">Input!$B$5</definedName>
    <definedName name="AnnualIncome">Input!$B$4</definedName>
    <definedName name="LoanAmount">Input!$B$2</definedName>
    <definedName name="Occupation">Input!$B$3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5" l="1"/>
  <c r="B4" i="5"/>
  <c r="B3" i="5"/>
  <c r="B6" i="3"/>
  <c r="B5" i="3"/>
  <c r="B3" i="3"/>
  <c r="B4" i="4" s="1"/>
  <c r="B2" i="3"/>
  <c r="B4" i="3" s="1"/>
  <c r="B8" i="5" l="1"/>
  <c r="B6" i="4"/>
  <c r="B7" i="3"/>
  <c r="B5" i="4"/>
  <c r="B7" i="5"/>
  <c r="B9" i="5" l="1"/>
  <c r="B7" i="4"/>
  <c r="B9" i="4" s="1"/>
  <c r="B11" i="4" l="1"/>
  <c r="B12" i="5" s="1"/>
  <c r="B10" i="4"/>
  <c r="B11" i="5" s="1"/>
</calcChain>
</file>

<file path=xl/sharedStrings.xml><?xml version="1.0" encoding="utf-8"?>
<sst xmlns="http://schemas.openxmlformats.org/spreadsheetml/2006/main" count="112" uniqueCount="81">
  <si>
    <t>Loan Application Input</t>
  </si>
  <si>
    <t>Loan Amount (PHP)</t>
  </si>
  <si>
    <t>Occupation</t>
  </si>
  <si>
    <t>Cashier</t>
  </si>
  <si>
    <t>Annual Income (PHP) — leave blank if not declared</t>
  </si>
  <si>
    <t>Advance Payments Count (0 for new applications)</t>
  </si>
  <si>
    <t>Yellow cells are inputs — change them to test scenarios.</t>
  </si>
  <si>
    <t>Tier</t>
  </si>
  <si>
    <t>Stability Score</t>
  </si>
  <si>
    <t>Teaching</t>
  </si>
  <si>
    <t>Public_Sector_Institutional</t>
  </si>
  <si>
    <t>Retired Teacher</t>
  </si>
  <si>
    <t>Government Employee</t>
  </si>
  <si>
    <t>Adas Iii</t>
  </si>
  <si>
    <t>Local Treasury Operations Offices Ii</t>
  </si>
  <si>
    <t>Mpiw Employee</t>
  </si>
  <si>
    <t>Admin Officer V</t>
  </si>
  <si>
    <t>Adas Ii</t>
  </si>
  <si>
    <t>Ada</t>
  </si>
  <si>
    <t>Social Welfare Assistant</t>
  </si>
  <si>
    <t>Senior Fire Inspector</t>
  </si>
  <si>
    <t>Encoder</t>
  </si>
  <si>
    <t>Assistant Pharmacist</t>
  </si>
  <si>
    <t>Dietitian</t>
  </si>
  <si>
    <t>Sb Member</t>
  </si>
  <si>
    <t>Seafarer</t>
  </si>
  <si>
    <t>Private_Professional_Skilled</t>
  </si>
  <si>
    <t>Automotive Technician</t>
  </si>
  <si>
    <t>Beautician</t>
  </si>
  <si>
    <t>Caregiver</t>
  </si>
  <si>
    <t>Assistant Embalmer</t>
  </si>
  <si>
    <t>Service_Support</t>
  </si>
  <si>
    <t>Store Clerk</t>
  </si>
  <si>
    <t>Security Guard</t>
  </si>
  <si>
    <t>Asst. Station Manager</t>
  </si>
  <si>
    <t>Barber</t>
  </si>
  <si>
    <t>Business</t>
  </si>
  <si>
    <t>Entrepreneurial_Informal</t>
  </si>
  <si>
    <t>Vendor</t>
  </si>
  <si>
    <t>Entrepreneur</t>
  </si>
  <si>
    <t>Farmer</t>
  </si>
  <si>
    <t>Rice Dealer</t>
  </si>
  <si>
    <t>Small Business</t>
  </si>
  <si>
    <t>Unknown</t>
  </si>
  <si>
    <t>Unclassified_High_Risk</t>
  </si>
  <si>
    <t>Model Feature Engineering — exact same 5 features the Random Forest receives</t>
  </si>
  <si>
    <t>Normalized Occupation (helper)</t>
  </si>
  <si>
    <t>Title Case + handles blank + the 'Automative' typo</t>
  </si>
  <si>
    <t>Feature 1: LoanAmount</t>
  </si>
  <si>
    <t>Direct input. No transformation.</t>
  </si>
  <si>
    <t>Feature 2: Stability_Score</t>
  </si>
  <si>
    <t>Lookup tier score; unknown occupation falls back to 2 (Unclassified_High_Risk).</t>
  </si>
  <si>
    <t>Feature 3: Advance_Payment_Count</t>
  </si>
  <si>
    <t>Always 0 for new applications.</t>
  </si>
  <si>
    <t>Feature 4: Income_Is_Missing</t>
  </si>
  <si>
    <t>Binary flag. Missingness itself is a learned signal.</t>
  </si>
  <si>
    <t>Feature 5: Repayment_Stress_Index</t>
  </si>
  <si>
    <t>Uses -999 sentinel when income is missing. DO NOT change this constant.</t>
  </si>
  <si>
    <t>These five cells (B3:B7) are exactly what the Python /api/risk/predict endpoint feeds to the trained Random Forest.</t>
  </si>
  <si>
    <t>Rule-based Heuristic — explainable proxy, NOT the actual Random Forest</t>
  </si>
  <si>
    <t>This sheet helps you demonstrate the directional logic in Excel without running the Python model. Use the live UI for the real probability.</t>
  </si>
  <si>
    <t>Loan Size Risk (0–40)</t>
  </si>
  <si>
    <t>Each PHP 5,000 of principal adds 1 point, capped at 40.</t>
  </si>
  <si>
    <t>Stability Risk (0–30)</t>
  </si>
  <si>
    <t>Tier 4 = 0 pts, Tier 1 = 22.5 pts. Public sector is safest.</t>
  </si>
  <si>
    <t>Income Missing Risk (0–20)</t>
  </si>
  <si>
    <t>Missing income is itself a strong signal in the training data (~51% missing).</t>
  </si>
  <si>
    <t>Repayment Stress Risk (0–10)</t>
  </si>
  <si>
    <t>5 pts if income missing; otherwise scaled by stress index.</t>
  </si>
  <si>
    <t>Heuristic Risk Score (0–100)</t>
  </si>
  <si>
    <t>Heuristic Risk Class</t>
  </si>
  <si>
    <t>Probability Proxy</t>
  </si>
  <si>
    <t>Caveat: the actual model is a Random Forest with ~100 decision trees. This heuristic captures the dominant directions but can disagree with the real model on edge cases. Always cite the API output as the official score.</t>
  </si>
  <si>
    <t>TTMPC Risk Assessment — Simulation Output</t>
  </si>
  <si>
    <t>Loan Amount</t>
  </si>
  <si>
    <t>Occupation (raw)</t>
  </si>
  <si>
    <t>Annual Income</t>
  </si>
  <si>
    <t>Income Missing Flag</t>
  </si>
  <si>
    <t>Repayment Stress Index</t>
  </si>
  <si>
    <t>Heuristic Probability</t>
  </si>
  <si>
    <t>Reminder: this Output sheet uses the rule-based heuristic. The production probability comes from the Random Forest via /api/risk/predict.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</si>
</sst>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₱&quot;#,##0.00"/>
  </numFmts>
  <fonts count="8">
    <font>
      <sz val="11"/>
      <color theme="1"/>
      <name val="Calibri"/>
      <family val="2"/>
      <scheme val="minor"/>
    </font>
    <font>
      <b/>
      <sz val="14"/>
      <color rgb="FF1D6021"/>
      <name val="Calibri"/>
    </font>
    <font>
      <b/>
      <sz val="10"/>
      <name val="Calibri"/>
    </font>
    <font>
      <sz val="11"/>
      <name val="Calibri"/>
    </font>
    <font>
      <i/>
      <sz val="9"/>
      <color rgb="FF666666"/>
      <name val="Calibri"/>
    </font>
    <font>
      <b/>
      <sz val="12"/>
      <color rgb="FFFFFFFF"/>
      <name val="Calibri"/>
    </font>
    <font>
      <b/>
      <sz val="12"/>
      <color rgb="FF1D6021"/>
      <name val="Calibri"/>
    </font>
    <font>
      <b/>
      <sz val="12"/>
      <color rgb="FFB4530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BEA"/>
      </patternFill>
    </fill>
    <fill>
      <patternFill patternType="solid">
        <fgColor rgb="FF1D6021"/>
      </patternFill>
    </fill>
    <fill>
      <patternFill patternType="solid">
        <fgColor rgb="FFEAF7E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164" fontId="3" fillId="4" borderId="1" xfId="0" applyNumberFormat="1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1" fontId="3" fillId="4" borderId="1" xfId="0" applyNumberFormat="1" applyFont="1" applyFill="1" applyBorder="1" applyAlignment="1">
      <alignment horizontal="left" vertical="center"/>
    </xf>
    <xf numFmtId="2" fontId="3" fillId="4" borderId="1" xfId="0" applyNumberFormat="1" applyFont="1" applyFill="1" applyBorder="1" applyAlignment="1">
      <alignment horizontal="left" vertical="center"/>
    </xf>
    <xf numFmtId="0" fontId="4" fillId="0" borderId="0" xfId="0" applyFont="1"/>
    <xf numFmtId="0" fontId="0" fillId="0" borderId="0" xfId="0"/>
    <xf numFmtId="0" fontId="1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2">
    <dxf>
      <fill>
        <patternFill patternType="solid">
          <fgColor rgb="FFBBF7D0"/>
        </patternFill>
      </fill>
    </dxf>
    <dxf>
      <fill>
        <patternFill patternType="solid">
          <fgColor rgb="FFFCA5A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3" sqref="B3"/>
    </sheetView>
  </sheetViews>
  <sheetFormatPr defaultRowHeight="14.4"/>
  <cols>
    <col min="1" max="1" width="55" customWidth="1"/>
    <col min="2" max="2" width="24" customWidth="1"/>
  </cols>
  <sheetData>
    <row r="1" spans="1:2" ht="18">
      <c r="A1" s="14" t="s">
        <v>0</v>
      </c>
      <c r="B1" s="13"/>
    </row>
    <row r="2" spans="1:2">
      <c r="A2" s="1" t="s">
        <v>1</v>
      </c>
      <c r="B2" s="2">
        <v>90000</v>
      </c>
    </row>
    <row r="3" spans="1:2">
      <c r="A3" s="1" t="s">
        <v>2</v>
      </c>
      <c r="B3" s="2" t="s">
        <v>9</v>
      </c>
    </row>
    <row r="4" spans="1:2">
      <c r="A4" s="1" t="s">
        <v>4</v>
      </c>
      <c r="B4" s="2">
        <v>350000</v>
      </c>
    </row>
    <row r="5" spans="1:2">
      <c r="A5" s="1" t="s">
        <v>5</v>
      </c>
      <c r="B5" s="2">
        <v>0</v>
      </c>
    </row>
    <row r="6" spans="1:2">
      <c r="A6" s="12" t="s">
        <v>6</v>
      </c>
      <c r="B6" s="13"/>
    </row>
  </sheetData>
  <mergeCells count="2">
    <mergeCell ref="A6:B6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workbookViewId="0">
      <selection activeCell="A2" sqref="A2"/>
    </sheetView>
  </sheetViews>
  <sheetFormatPr defaultRowHeight="14.4"/>
  <cols>
    <col min="1" max="1" width="42" customWidth="1"/>
    <col min="2" max="2" width="32" customWidth="1"/>
    <col min="3" max="3" width="16" customWidth="1"/>
  </cols>
  <sheetData>
    <row r="1" spans="1:3" ht="15.6">
      <c r="A1" s="3" t="s">
        <v>2</v>
      </c>
      <c r="B1" s="3" t="s">
        <v>7</v>
      </c>
      <c r="C1" s="3" t="s">
        <v>8</v>
      </c>
    </row>
    <row r="2" spans="1:3">
      <c r="A2" s="4" t="s">
        <v>9</v>
      </c>
      <c r="B2" s="4" t="s">
        <v>10</v>
      </c>
      <c r="C2" s="4">
        <v>4</v>
      </c>
    </row>
    <row r="3" spans="1:3">
      <c r="A3" s="4" t="s">
        <v>11</v>
      </c>
      <c r="B3" s="4" t="s">
        <v>10</v>
      </c>
      <c r="C3" s="4">
        <v>4</v>
      </c>
    </row>
    <row r="4" spans="1:3">
      <c r="A4" s="4" t="s">
        <v>12</v>
      </c>
      <c r="B4" s="4" t="s">
        <v>10</v>
      </c>
      <c r="C4" s="4">
        <v>4</v>
      </c>
    </row>
    <row r="5" spans="1:3">
      <c r="A5" s="4" t="s">
        <v>13</v>
      </c>
      <c r="B5" s="4" t="s">
        <v>10</v>
      </c>
      <c r="C5" s="4">
        <v>4</v>
      </c>
    </row>
    <row r="6" spans="1:3">
      <c r="A6" s="4" t="s">
        <v>14</v>
      </c>
      <c r="B6" s="4" t="s">
        <v>10</v>
      </c>
      <c r="C6" s="4">
        <v>4</v>
      </c>
    </row>
    <row r="7" spans="1:3">
      <c r="A7" s="4" t="s">
        <v>15</v>
      </c>
      <c r="B7" s="4" t="s">
        <v>10</v>
      </c>
      <c r="C7" s="4">
        <v>4</v>
      </c>
    </row>
    <row r="8" spans="1:3">
      <c r="A8" s="4" t="s">
        <v>16</v>
      </c>
      <c r="B8" s="4" t="s">
        <v>10</v>
      </c>
      <c r="C8" s="4">
        <v>4</v>
      </c>
    </row>
    <row r="9" spans="1:3">
      <c r="A9" s="4" t="s">
        <v>17</v>
      </c>
      <c r="B9" s="4" t="s">
        <v>10</v>
      </c>
      <c r="C9" s="4">
        <v>4</v>
      </c>
    </row>
    <row r="10" spans="1:3">
      <c r="A10" s="4" t="s">
        <v>18</v>
      </c>
      <c r="B10" s="4" t="s">
        <v>10</v>
      </c>
      <c r="C10" s="4">
        <v>4</v>
      </c>
    </row>
    <row r="11" spans="1:3">
      <c r="A11" s="4" t="s">
        <v>19</v>
      </c>
      <c r="B11" s="4" t="s">
        <v>10</v>
      </c>
      <c r="C11" s="4">
        <v>4</v>
      </c>
    </row>
    <row r="12" spans="1:3">
      <c r="A12" s="4" t="s">
        <v>20</v>
      </c>
      <c r="B12" s="4" t="s">
        <v>10</v>
      </c>
      <c r="C12" s="4">
        <v>4</v>
      </c>
    </row>
    <row r="13" spans="1:3">
      <c r="A13" s="4" t="s">
        <v>21</v>
      </c>
      <c r="B13" s="4" t="s">
        <v>10</v>
      </c>
      <c r="C13" s="4">
        <v>4</v>
      </c>
    </row>
    <row r="14" spans="1:3">
      <c r="A14" s="4" t="s">
        <v>22</v>
      </c>
      <c r="B14" s="4" t="s">
        <v>10</v>
      </c>
      <c r="C14" s="4">
        <v>4</v>
      </c>
    </row>
    <row r="15" spans="1:3">
      <c r="A15" s="4" t="s">
        <v>23</v>
      </c>
      <c r="B15" s="4" t="s">
        <v>10</v>
      </c>
      <c r="C15" s="4">
        <v>4</v>
      </c>
    </row>
    <row r="16" spans="1:3">
      <c r="A16" s="4" t="s">
        <v>24</v>
      </c>
      <c r="B16" s="4" t="s">
        <v>10</v>
      </c>
      <c r="C16" s="4">
        <v>4</v>
      </c>
    </row>
    <row r="17" spans="1:3">
      <c r="A17" s="4" t="s">
        <v>25</v>
      </c>
      <c r="B17" s="4" t="s">
        <v>26</v>
      </c>
      <c r="C17" s="4">
        <v>3</v>
      </c>
    </row>
    <row r="18" spans="1:3">
      <c r="A18" s="4" t="s">
        <v>27</v>
      </c>
      <c r="B18" s="4" t="s">
        <v>26</v>
      </c>
      <c r="C18" s="4">
        <v>3</v>
      </c>
    </row>
    <row r="19" spans="1:3">
      <c r="A19" s="4" t="s">
        <v>28</v>
      </c>
      <c r="B19" s="4" t="s">
        <v>26</v>
      </c>
      <c r="C19" s="4">
        <v>3</v>
      </c>
    </row>
    <row r="20" spans="1:3">
      <c r="A20" s="4" t="s">
        <v>29</v>
      </c>
      <c r="B20" s="4" t="s">
        <v>26</v>
      </c>
      <c r="C20" s="4">
        <v>3</v>
      </c>
    </row>
    <row r="21" spans="1:3">
      <c r="A21" s="4" t="s">
        <v>30</v>
      </c>
      <c r="B21" s="4" t="s">
        <v>26</v>
      </c>
      <c r="C21" s="4">
        <v>3</v>
      </c>
    </row>
    <row r="22" spans="1:3">
      <c r="A22" s="4" t="s">
        <v>3</v>
      </c>
      <c r="B22" s="4" t="s">
        <v>31</v>
      </c>
      <c r="C22" s="4">
        <v>2</v>
      </c>
    </row>
    <row r="23" spans="1:3">
      <c r="A23" s="4" t="s">
        <v>32</v>
      </c>
      <c r="B23" s="4" t="s">
        <v>31</v>
      </c>
      <c r="C23" s="4">
        <v>2</v>
      </c>
    </row>
    <row r="24" spans="1:3">
      <c r="A24" s="4" t="s">
        <v>33</v>
      </c>
      <c r="B24" s="4" t="s">
        <v>31</v>
      </c>
      <c r="C24" s="4">
        <v>2</v>
      </c>
    </row>
    <row r="25" spans="1:3">
      <c r="A25" s="4" t="s">
        <v>34</v>
      </c>
      <c r="B25" s="4" t="s">
        <v>31</v>
      </c>
      <c r="C25" s="4">
        <v>2</v>
      </c>
    </row>
    <row r="26" spans="1:3">
      <c r="A26" s="4" t="s">
        <v>35</v>
      </c>
      <c r="B26" s="4" t="s">
        <v>31</v>
      </c>
      <c r="C26" s="4">
        <v>2</v>
      </c>
    </row>
    <row r="27" spans="1:3">
      <c r="A27" s="4" t="s">
        <v>36</v>
      </c>
      <c r="B27" s="4" t="s">
        <v>37</v>
      </c>
      <c r="C27" s="4">
        <v>1</v>
      </c>
    </row>
    <row r="28" spans="1:3">
      <c r="A28" s="4" t="s">
        <v>38</v>
      </c>
      <c r="B28" s="4" t="s">
        <v>37</v>
      </c>
      <c r="C28" s="4">
        <v>1</v>
      </c>
    </row>
    <row r="29" spans="1:3">
      <c r="A29" s="4" t="s">
        <v>39</v>
      </c>
      <c r="B29" s="4" t="s">
        <v>37</v>
      </c>
      <c r="C29" s="4">
        <v>1</v>
      </c>
    </row>
    <row r="30" spans="1:3">
      <c r="A30" s="4" t="s">
        <v>40</v>
      </c>
      <c r="B30" s="4" t="s">
        <v>37</v>
      </c>
      <c r="C30" s="4">
        <v>1</v>
      </c>
    </row>
    <row r="31" spans="1:3">
      <c r="A31" s="4" t="s">
        <v>41</v>
      </c>
      <c r="B31" s="4" t="s">
        <v>37</v>
      </c>
      <c r="C31" s="4">
        <v>1</v>
      </c>
    </row>
    <row r="32" spans="1:3">
      <c r="A32" s="4" t="s">
        <v>42</v>
      </c>
      <c r="B32" s="4" t="s">
        <v>37</v>
      </c>
      <c r="C32" s="4">
        <v>1</v>
      </c>
    </row>
    <row r="33" spans="1:3">
      <c r="A33" s="4" t="s">
        <v>43</v>
      </c>
      <c r="B33" s="4" t="s">
        <v>44</v>
      </c>
      <c r="C33" s="4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sqref="A1:C1"/>
    </sheetView>
  </sheetViews>
  <sheetFormatPr defaultRowHeight="14.4"/>
  <cols>
    <col min="1" max="1" width="36" customWidth="1"/>
    <col min="2" max="2" width="32" customWidth="1"/>
    <col min="3" max="3" width="55" customWidth="1"/>
  </cols>
  <sheetData>
    <row r="1" spans="1:3" ht="15.6">
      <c r="A1" s="15" t="s">
        <v>45</v>
      </c>
      <c r="B1" s="13"/>
      <c r="C1" s="13"/>
    </row>
    <row r="2" spans="1:3">
      <c r="A2" s="1" t="s">
        <v>46</v>
      </c>
      <c r="B2" s="5" t="str">
        <f>IF(TRIM(Occupation)="","Unknown",IF(ISNUMBER(SEARCH("automative",Occupation)),"Automotive Technician",PROPER(TRIM(Occupation))))</f>
        <v>Teaching</v>
      </c>
      <c r="C2" s="6" t="s">
        <v>47</v>
      </c>
    </row>
    <row r="3" spans="1:3">
      <c r="A3" s="1" t="s">
        <v>48</v>
      </c>
      <c r="B3" s="5">
        <f>LoanAmount</f>
        <v>90000</v>
      </c>
      <c r="C3" s="6" t="s">
        <v>49</v>
      </c>
    </row>
    <row r="4" spans="1:3" ht="24">
      <c r="A4" s="1" t="s">
        <v>50</v>
      </c>
      <c r="B4" s="5">
        <f>IFERROR(VLOOKUP(B2, OccupationMap!A:C, 3, FALSE), 2)</f>
        <v>4</v>
      </c>
      <c r="C4" s="6" t="s">
        <v>51</v>
      </c>
    </row>
    <row r="5" spans="1:3">
      <c r="A5" s="1" t="s">
        <v>52</v>
      </c>
      <c r="B5" s="5">
        <f>AdvPayCount</f>
        <v>0</v>
      </c>
      <c r="C5" s="6" t="s">
        <v>53</v>
      </c>
    </row>
    <row r="6" spans="1:3">
      <c r="A6" s="1" t="s">
        <v>54</v>
      </c>
      <c r="B6" s="5">
        <f>IF(OR(AnnualIncome="", AnnualIncome=0), 1, 0)</f>
        <v>0</v>
      </c>
      <c r="C6" s="6" t="s">
        <v>55</v>
      </c>
    </row>
    <row r="7" spans="1:3">
      <c r="A7" s="1" t="s">
        <v>56</v>
      </c>
      <c r="B7" s="5">
        <f>IF(B6=1, -999, (LoanAmount/12) / (AnnualIncome/12) * 100)</f>
        <v>25.714285714285712</v>
      </c>
      <c r="C7" s="6" t="s">
        <v>57</v>
      </c>
    </row>
    <row r="9" spans="1:3">
      <c r="A9" s="12" t="s">
        <v>58</v>
      </c>
      <c r="B9" s="13"/>
      <c r="C9" s="13"/>
    </row>
  </sheetData>
  <mergeCells count="2">
    <mergeCell ref="A1:C1"/>
    <mergeCell ref="A9:C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>
      <selection activeCell="C24" sqref="C24"/>
    </sheetView>
  </sheetViews>
  <sheetFormatPr defaultRowHeight="14.4"/>
  <cols>
    <col min="1" max="1" width="32" customWidth="1"/>
    <col min="2" max="2" width="22" customWidth="1"/>
    <col min="3" max="3" width="55" customWidth="1"/>
  </cols>
  <sheetData>
    <row r="1" spans="1:3" ht="15.6">
      <c r="A1" s="16" t="s">
        <v>59</v>
      </c>
      <c r="B1" s="13"/>
      <c r="C1" s="13"/>
    </row>
    <row r="2" spans="1:3">
      <c r="A2" s="12" t="s">
        <v>60</v>
      </c>
      <c r="B2" s="13"/>
      <c r="C2" s="13"/>
    </row>
    <row r="4" spans="1:3">
      <c r="A4" s="1" t="s">
        <v>61</v>
      </c>
      <c r="B4" s="5">
        <f>MIN(40, Features!B3 / 5000)</f>
        <v>18</v>
      </c>
      <c r="C4" s="6" t="s">
        <v>62</v>
      </c>
    </row>
    <row r="5" spans="1:3">
      <c r="A5" s="1" t="s">
        <v>63</v>
      </c>
      <c r="B5" s="5">
        <f>(4 - Features!B4) * 7.5</f>
        <v>0</v>
      </c>
      <c r="C5" s="6" t="s">
        <v>64</v>
      </c>
    </row>
    <row r="6" spans="1:3">
      <c r="A6" s="1" t="s">
        <v>65</v>
      </c>
      <c r="B6" s="5">
        <f>IF(Features!B6=1, 20, 0)</f>
        <v>0</v>
      </c>
      <c r="C6" s="6" t="s">
        <v>66</v>
      </c>
    </row>
    <row r="7" spans="1:3">
      <c r="A7" s="1" t="s">
        <v>67</v>
      </c>
      <c r="B7" s="5">
        <f>IF(Features!B6=1, 5, MIN(10, Features!B7 / 30))</f>
        <v>0.8571428571428571</v>
      </c>
      <c r="C7" s="6" t="s">
        <v>68</v>
      </c>
    </row>
    <row r="9" spans="1:3">
      <c r="A9" s="1" t="s">
        <v>69</v>
      </c>
      <c r="B9" s="5">
        <f>B4+B5+B6+B7</f>
        <v>18.857142857142858</v>
      </c>
    </row>
    <row r="10" spans="1:3">
      <c r="A10" s="1" t="s">
        <v>70</v>
      </c>
      <c r="B10" s="5" t="str">
        <f>IF(B9&gt;=50,"High Risk","Performing")</f>
        <v>Performing</v>
      </c>
    </row>
    <row r="11" spans="1:3">
      <c r="A11" s="1" t="s">
        <v>71</v>
      </c>
      <c r="B11" s="7">
        <f>B9/100</f>
        <v>0.18857142857142858</v>
      </c>
    </row>
    <row r="13" spans="1:3" ht="36" customHeight="1">
      <c r="A13" s="17" t="s">
        <v>72</v>
      </c>
      <c r="B13" s="13"/>
      <c r="C13" s="13"/>
    </row>
  </sheetData>
  <mergeCells count="3">
    <mergeCell ref="A1:C1"/>
    <mergeCell ref="A13:C13"/>
    <mergeCell ref="A2:C2"/>
  </mergeCells>
  <conditionalFormatting sqref="B10">
    <cfRule type="cellIs" dxfId="1" priority="1" operator="equal">
      <formula>"High Risk"</formula>
    </cfRule>
    <cfRule type="cellIs" dxfId="0" priority="2" operator="equal">
      <formula>"Performing"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workbookViewId="0">
      <selection sqref="A1:B1"/>
    </sheetView>
  </sheetViews>
  <sheetFormatPr defaultRowHeight="14.4"/>
  <cols>
    <col min="1" max="2" width="28" customWidth="1"/>
  </cols>
  <sheetData>
    <row r="1" spans="1:2" ht="18">
      <c r="A1" s="14" t="s">
        <v>73</v>
      </c>
      <c r="B1" s="13"/>
    </row>
    <row r="3" spans="1:2">
      <c r="A3" s="1" t="s">
        <v>74</v>
      </c>
      <c r="B3" s="8">
        <f>LoanAmount</f>
        <v>90000</v>
      </c>
    </row>
    <row r="4" spans="1:2">
      <c r="A4" s="1" t="s">
        <v>75</v>
      </c>
      <c r="B4" s="9" t="str">
        <f>Occupation</f>
        <v>Teaching</v>
      </c>
    </row>
    <row r="5" spans="1:2">
      <c r="A5" s="1" t="s">
        <v>76</v>
      </c>
      <c r="B5" s="8">
        <f>IF(AnnualIncome="","(not declared)",AnnualIncome)</f>
        <v>350000</v>
      </c>
    </row>
    <row r="6" spans="1:2">
      <c r="A6" s="1"/>
      <c r="B6" s="5"/>
    </row>
    <row r="7" spans="1:2">
      <c r="A7" s="1" t="s">
        <v>8</v>
      </c>
      <c r="B7" s="10">
        <f>Features!B4</f>
        <v>4</v>
      </c>
    </row>
    <row r="8" spans="1:2">
      <c r="A8" s="1" t="s">
        <v>77</v>
      </c>
      <c r="B8" s="10">
        <f>Features!B6</f>
        <v>0</v>
      </c>
    </row>
    <row r="9" spans="1:2">
      <c r="A9" s="1" t="s">
        <v>78</v>
      </c>
      <c r="B9" s="11">
        <f>Features!B7</f>
        <v>25.714285714285712</v>
      </c>
    </row>
    <row r="10" spans="1:2">
      <c r="A10" s="1"/>
      <c r="B10" s="5"/>
    </row>
    <row r="11" spans="1:2">
      <c r="A11" s="1" t="s">
        <v>70</v>
      </c>
      <c r="B11" s="9" t="str">
        <f>RiskHeuristic!B10</f>
        <v>Performing</v>
      </c>
    </row>
    <row r="12" spans="1:2">
      <c r="A12" s="1" t="s">
        <v>79</v>
      </c>
      <c r="B12" s="7">
        <f>RiskHeuristic!B11</f>
        <v>0.18857142857142858</v>
      </c>
    </row>
    <row r="14" spans="1:2" ht="36" customHeight="1">
      <c r="A14" s="17" t="s">
        <v>80</v>
      </c>
      <c r="B14" s="13"/>
    </row>
  </sheetData>
  <mergeCells count="2">
    <mergeCell ref="A14:B14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Input</vt:lpstr>
      <vt:lpstr>OccupationMap</vt:lpstr>
      <vt:lpstr>Features</vt:lpstr>
      <vt:lpstr>RiskHeuristic</vt:lpstr>
      <vt:lpstr>Output</vt:lpstr>
      <vt:lpstr>AdvPayCount</vt:lpstr>
      <vt:lpstr>AnnualIncome</vt:lpstr>
      <vt:lpstr>LoanAmount</vt:lpstr>
      <vt:lpstr>Occupation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Gero Tabiolo</cp:lastModifiedBy>
  <dcterms:created xsi:type="dcterms:W3CDTF">2026-05-17T15:41:54Z</dcterms:created>
  <dcterms:modified xsi:type="dcterms:W3CDTF">2026-05-17T15:45:13Z</dcterms:modified>
</cp:coreProperties>
</file>